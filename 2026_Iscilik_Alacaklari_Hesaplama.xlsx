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İRDİ &amp; PARAMETRELER" sheetId="1" state="visible" r:id="rId3"/>
    <sheet name="KIDEM TAZMİNATI" sheetId="2" state="visible" r:id="rId4"/>
    <sheet name="İHBAR TAZMİNATI" sheetId="3" state="visible" r:id="rId5"/>
    <sheet name="YILLIK İZİN" sheetId="4" state="visible" r:id="rId6"/>
    <sheet name="FAZLA MESAİ &amp; UBGT" sheetId="5" state="visible" r:id="rId7"/>
    <sheet name="GENEL İCM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<sst xmlns="http://schemas.openxmlformats.org/spreadsheetml/2006/main" count="221" uniqueCount="186">
  <si>
    <t xml:space="preserve">2026 YILI İŞÇİLİK ALACAKLARI HESAPLAMA ŞABLONu</t>
  </si>
  <si>
    <t xml:space="preserve">BİLİRKİŞİ HESAP ARACI · 01.01.2026 – 31.12.2026 Parametreleri</t>
  </si>
  <si>
    <t xml:space="preserve">A. İŞÇİ BİLGİLERİ (GİRDİ)</t>
  </si>
  <si>
    <t xml:space="preserve">Tarih Bilgileri</t>
  </si>
  <si>
    <t xml:space="preserve">Otomatik Hesaplanan</t>
  </si>
  <si>
    <t xml:space="preserve">İşe Giriş Tarihi</t>
  </si>
  <si>
    <t xml:space="preserve">Hizmet Süresi (Yıl)</t>
  </si>
  <si>
    <t xml:space="preserve">Yıl</t>
  </si>
  <si>
    <t xml:space="preserve">İşten Çıkış Tarihi</t>
  </si>
  <si>
    <t xml:space="preserve">Hizmet Süresi (Kalan Ay)</t>
  </si>
  <si>
    <t xml:space="preserve">Ay</t>
  </si>
  <si>
    <t xml:space="preserve">Kalan Gün (+1 dahil)</t>
  </si>
  <si>
    <t xml:space="preserve">Toplam Hizmet Günü</t>
  </si>
  <si>
    <t xml:space="preserve">Gün</t>
  </si>
  <si>
    <t xml:space="preserve">B. ÜCRET BİLGİLERİ</t>
  </si>
  <si>
    <t xml:space="preserve">Aylık Çıplak Brüt Ücret (TL)</t>
  </si>
  <si>
    <t xml:space="preserve">Temel brüt maaş – ek ödemeler dahil değil</t>
  </si>
  <si>
    <t xml:space="preserve">Aylık Net Ücret (biliniyorsa, TL)</t>
  </si>
  <si>
    <t xml:space="preserve">Net ücret girilmişse brüt otomatik hesaplanır</t>
  </si>
  <si>
    <t xml:space="preserve">Yemek Yardımı (Aylık Brüt TL)</t>
  </si>
  <si>
    <t xml:space="preserve">Yol/Servis Yardımı (Aylık Brüt TL)</t>
  </si>
  <si>
    <t xml:space="preserve">İkramiye (Aylık Brüt TL)</t>
  </si>
  <si>
    <t xml:space="preserve">Yıllık ikramiyenin 1/12'si</t>
  </si>
  <si>
    <t xml:space="preserve">Prim (Aylık Brüt TL)</t>
  </si>
  <si>
    <t xml:space="preserve">Barınma/Konut (Aylık Brüt TL)</t>
  </si>
  <si>
    <t xml:space="preserve">Diğer Ayni/Nakdi Yardımlar (Aylık Brüt TL)</t>
  </si>
  <si>
    <t xml:space="preserve">C. ÜCRET HESABI (OTOMATİK)</t>
  </si>
  <si>
    <t xml:space="preserve">Çıplak Brüt Ücret</t>
  </si>
  <si>
    <t xml:space="preserve">Girilen değer esas alınır</t>
  </si>
  <si>
    <t xml:space="preserve">Giydirilmiş Brüt Ücret</t>
  </si>
  <si>
    <t xml:space="preserve">Çıplak + Tüm Yan Haklar</t>
  </si>
  <si>
    <t xml:space="preserve">SGK İşçi Payı (%15)</t>
  </si>
  <si>
    <t xml:space="preserve">İşsizlik İşçi Payı (%1)</t>
  </si>
  <si>
    <t xml:space="preserve">Asgari Ücret İstisnası GV (aylık)</t>
  </si>
  <si>
    <t xml:space="preserve">Parametre sayfasından çekilir</t>
  </si>
  <si>
    <t xml:space="preserve">Asgari Ücret İstisnası DV (aylık)</t>
  </si>
  <si>
    <t xml:space="preserve">D. DİĞER GİRDİLER</t>
  </si>
  <si>
    <t xml:space="preserve">Kullanılmamış Yıllık İzin Gün Sayısı</t>
  </si>
  <si>
    <t xml:space="preserve">gün</t>
  </si>
  <si>
    <t xml:space="preserve">Haftalık Ortalama Fazla Mesai Saati</t>
  </si>
  <si>
    <t xml:space="preserve">saat/hafta</t>
  </si>
  <si>
    <t xml:space="preserve">Toplam Fazla Mesai Saati (tüm dönem)</t>
  </si>
  <si>
    <t xml:space="preserve">saat (otomatik veya manuel)</t>
  </si>
  <si>
    <t xml:space="preserve">UBGT Çalışılan Gün Sayısı (tüm dönem)</t>
  </si>
  <si>
    <t xml:space="preserve">Hakkaniyet İndirimi Oranı (FM/UBGT)</t>
  </si>
  <si>
    <t xml:space="preserve">0.30 = %30, 0 = indirim yok</t>
  </si>
  <si>
    <t xml:space="preserve">Kümülatif GV Matrahı (işten çıkış ayı)</t>
  </si>
  <si>
    <t xml:space="preserve">TL - bordrodan bakılacak</t>
  </si>
  <si>
    <t xml:space="preserve">Toplam FM Saati (otomatik hesap)</t>
  </si>
  <si>
    <t xml:space="preserve">D32 boşsa D31 × toplam hafta kullanılır</t>
  </si>
  <si>
    <t xml:space="preserve">E. 2026 YILI SABİT PARAMETRELERİ (DEĞİŞTİRMEYİN)</t>
  </si>
  <si>
    <t xml:space="preserve">Asgari Ücret Brüt (01.01.2026–31.12.2026)</t>
  </si>
  <si>
    <t xml:space="preserve">Asgari Ücret Net</t>
  </si>
  <si>
    <t xml:space="preserve">Kıdem Tazminatı Tavanı (01.01.2026–30.06.2026)</t>
  </si>
  <si>
    <t xml:space="preserve">SGK İşçi Payı</t>
  </si>
  <si>
    <t xml:space="preserve">İşsizlik İşçi Payı</t>
  </si>
  <si>
    <t xml:space="preserve">Damga Vergisi Oranı</t>
  </si>
  <si>
    <t xml:space="preserve">Asgari Ücret GV İstisnası (aylık)</t>
  </si>
  <si>
    <t xml:space="preserve">Asgari Ücret DV İstisnası (aylık)</t>
  </si>
  <si>
    <t xml:space="preserve">F. 2026 GELİR VERGİSİ DİLİMLERİ (ÜCRETLİLER)</t>
  </si>
  <si>
    <t xml:space="preserve">Dilim</t>
  </si>
  <si>
    <t xml:space="preserve">Alt Sınır (TL)</t>
  </si>
  <si>
    <t xml:space="preserve">Üst Sınır (TL)</t>
  </si>
  <si>
    <t xml:space="preserve">Oran</t>
  </si>
  <si>
    <t xml:space="preserve">Sınırsız</t>
  </si>
  <si>
    <t xml:space="preserve">⚠  KULLANIM NOTU: Sarı hücreler (D7:D8 ve D12:D19 ve D30:D35) kullanıcı tarafından doldurulmalıdır. Mavi renkte gösterilen değerler formülle hesaplanmaktadır. E bölümündeki parametreler değiştirilmemelidir.</t>
  </si>
  <si>
    <t xml:space="preserve">KIDEM TAZMİNATI HESABI</t>
  </si>
  <si>
    <t xml:space="preserve">Formül: (Giydirilmiş Brüt Ücret ≤ Tavan) × Tam Yıl  +  Tavan/365 × Artan Gün</t>
  </si>
  <si>
    <t xml:space="preserve">A. TEMEL BİLGİLER (Girdi sayfasından otomatik)</t>
  </si>
  <si>
    <t xml:space="preserve">Tam Yıl</t>
  </si>
  <si>
    <t xml:space="preserve">Kalan Ay</t>
  </si>
  <si>
    <t xml:space="preserve">Kıdem Tazminatı Tavanı</t>
  </si>
  <si>
    <t xml:space="preserve">Hesaplamada Esas Alınan Ücret</t>
  </si>
  <si>
    <t xml:space="preserve">B. KIDEM TAZMİNATI HESABI</t>
  </si>
  <si>
    <t xml:space="preserve">Tam Yıl Kıdemi</t>
  </si>
  <si>
    <t xml:space="preserve">=</t>
  </si>
  <si>
    <t xml:space="preserve">Artan Gün Kıdemi</t>
  </si>
  <si>
    <t xml:space="preserve">BRÜT KIDEM TAZMİNATI</t>
  </si>
  <si>
    <t xml:space="preserve">C. KESİNTİLER</t>
  </si>
  <si>
    <t xml:space="preserve">Damga Vergisi (‰7,59)</t>
  </si>
  <si>
    <t xml:space="preserve">SGK ve Gelir Vergisi KESİLMEZ – Yalnızca Damga Vergisi</t>
  </si>
  <si>
    <t xml:space="preserve">AÜ Damga Vergisi İstisnası (maaştan kalan bakiye)</t>
  </si>
  <si>
    <t xml:space="preserve">İşten çıkış ayı maaşından arta kalan DV istisnası (damga vergisinden düşülür)</t>
  </si>
  <si>
    <t xml:space="preserve">NET DAMGA VERGİSİ (ödenmesi gereken)</t>
  </si>
  <si>
    <t xml:space="preserve">D. SONUÇ</t>
  </si>
  <si>
    <t xml:space="preserve">(-) Net Damga Vergisi</t>
  </si>
  <si>
    <t xml:space="preserve">NET KIDEM TAZMİNATI</t>
  </si>
  <si>
    <t xml:space="preserve">İHBAR TAZMİNATI HESABI</t>
  </si>
  <si>
    <t xml:space="preserve">Formül: (Giydirilmiş Brüt Ücret ÷ 30) × İhbar Gün Sayısı</t>
  </si>
  <si>
    <t xml:space="preserve">A. KİDAM – İHBAR SÜRESİ TABLOSU</t>
  </si>
  <si>
    <t xml:space="preserve">Kıdem Süresi</t>
  </si>
  <si>
    <t xml:space="preserve">İhbar Süresi (Gün)</t>
  </si>
  <si>
    <t xml:space="preserve">6 aydan az</t>
  </si>
  <si>
    <t xml:space="preserve">6 ay – 1,5 yıl</t>
  </si>
  <si>
    <t xml:space="preserve">1,5 yıl – 3 yıl</t>
  </si>
  <si>
    <t xml:space="preserve">3 yıldan fazla</t>
  </si>
  <si>
    <t xml:space="preserve">B. OTOMATİK İHBAR SÜRESİ HESABI</t>
  </si>
  <si>
    <t xml:space="preserve">Toplam Hizmet Süresi (Yıl olarak)</t>
  </si>
  <si>
    <t xml:space="preserve">İhbar Süresi (Otomatik Hesap – Gün)</t>
  </si>
  <si>
    <t xml:space="preserve">Hafta: 8w=56g, 6w=42g, 4w=28g, 2w=14g</t>
  </si>
  <si>
    <t xml:space="preserve">C. İHBAR TAZMİNATI HESABI</t>
  </si>
  <si>
    <t xml:space="preserve">Günlük Giydirilmiş Ücret</t>
  </si>
  <si>
    <t xml:space="preserve">İhbar Gün Sayısı</t>
  </si>
  <si>
    <t xml:space="preserve">BRÜT İHBAR TAZMİNATI</t>
  </si>
  <si>
    <t xml:space="preserve">D. KESİNTİLER</t>
  </si>
  <si>
    <t xml:space="preserve">İhbar Brüt Tutarı (GV Matrahı)</t>
  </si>
  <si>
    <t xml:space="preserve">Gelir Vergisi (Kademeli – 2026)</t>
  </si>
  <si>
    <t xml:space="preserve">Kümülatif matrah esas alınarak uygulanacak dilim oranı kullanılır</t>
  </si>
  <si>
    <t xml:space="preserve">AÜ GV İstisnası (maaştan kalan bakiye)</t>
  </si>
  <si>
    <t xml:space="preserve">NET GELİR VERGİSİ (ödenmesi gereken)</t>
  </si>
  <si>
    <t xml:space="preserve">AÜ DV İstisnası (maaştan kalan bakiye)</t>
  </si>
  <si>
    <t xml:space="preserve">NET DAMGA VERGİSİ</t>
  </si>
  <si>
    <t xml:space="preserve">E. SONUÇ</t>
  </si>
  <si>
    <t xml:space="preserve">(-) Net Gelir Vergisi</t>
  </si>
  <si>
    <t xml:space="preserve">NET İHBAR TAZMİNATI</t>
  </si>
  <si>
    <t xml:space="preserve">YILLIK İZİN ÜCRETİ HESABI</t>
  </si>
  <si>
    <t xml:space="preserve">Formül: (Çıplak Brüt Ücret ÷ 30) × Kullanılmayan İzin Gün Sayısı</t>
  </si>
  <si>
    <t xml:space="preserve">A. İZİN HAKKI TABLOSU</t>
  </si>
  <si>
    <t xml:space="preserve">Kıdem</t>
  </si>
  <si>
    <t xml:space="preserve">Yıllık İzin Hakkı</t>
  </si>
  <si>
    <t xml:space="preserve">1 – 5 Yıl</t>
  </si>
  <si>
    <t xml:space="preserve">14 Gün</t>
  </si>
  <si>
    <t xml:space="preserve">5 – 15 Yıl</t>
  </si>
  <si>
    <t xml:space="preserve">20 Gün</t>
  </si>
  <si>
    <t xml:space="preserve">15+ Yıl</t>
  </si>
  <si>
    <t xml:space="preserve">26 Gün</t>
  </si>
  <si>
    <t xml:space="preserve">18 yaş altı / 50 yaş üstü</t>
  </si>
  <si>
    <t xml:space="preserve">Min. 20 Gün</t>
  </si>
  <si>
    <t xml:space="preserve">Yeraltı işçisi</t>
  </si>
  <si>
    <t xml:space="preserve">+4 Gün eklenir</t>
  </si>
  <si>
    <t xml:space="preserve">B. HESAPLAMA</t>
  </si>
  <si>
    <t xml:space="preserve">Günlük Çıplak Ücret</t>
  </si>
  <si>
    <t xml:space="preserve">Toplam Hizmet Yılı</t>
  </si>
  <si>
    <t xml:space="preserve">Yıllık İzin Hakkı (Günü)</t>
  </si>
  <si>
    <t xml:space="preserve">Kullanılmamış İzin Günü</t>
  </si>
  <si>
    <t xml:space="preserve">BRÜT YILLIK İZİN ÜCRETİ</t>
  </si>
  <si>
    <t xml:space="preserve">SGK İşçi Payı (%14)</t>
  </si>
  <si>
    <t xml:space="preserve">GV Matrahı (Brüt - SGK - İşsizlik)</t>
  </si>
  <si>
    <t xml:space="preserve">Gelir Vergisi (Kademeli)</t>
  </si>
  <si>
    <t xml:space="preserve">AÜ GV İstisnası (maaştan kalan)</t>
  </si>
  <si>
    <t xml:space="preserve">NET Gelir Vergisi</t>
  </si>
  <si>
    <t xml:space="preserve">AÜ DV İstisnası (maaştan kalan)</t>
  </si>
  <si>
    <t xml:space="preserve">NET Damga Vergisi</t>
  </si>
  <si>
    <t xml:space="preserve">TOPLAM KESİNTİ</t>
  </si>
  <si>
    <t xml:space="preserve">(-) Toplam Kesinti</t>
  </si>
  <si>
    <t xml:space="preserve">NET YILLIK İZİN ÜCRETİ</t>
  </si>
  <si>
    <t xml:space="preserve">FAZLA MESAİ &amp; UBGT ÜCRETİ HESABI</t>
  </si>
  <si>
    <t xml:space="preserve">FM: (Çıplak Brüt ÷ 225) × 1.5 × FM Saati  |  UBGT: (Çıplak Brüt ÷ 30) × Gün</t>
  </si>
  <si>
    <t xml:space="preserve">A. FAZLA MESAİ ÜCRETİ</t>
  </si>
  <si>
    <t xml:space="preserve">Saatlik Çıplak Ücret (÷225)</t>
  </si>
  <si>
    <t xml:space="preserve">Fazla Mesai Zam Katsayısı</t>
  </si>
  <si>
    <t xml:space="preserve">Toplam Fazla Mesai Saati</t>
  </si>
  <si>
    <t xml:space="preserve">BRÜT FM ÜCRETİ (Tavan öncesi)</t>
  </si>
  <si>
    <t xml:space="preserve">Hakkaniyet İndirimi Oranı</t>
  </si>
  <si>
    <t xml:space="preserve">Hakkaniyet Sonrası BRÜT FM</t>
  </si>
  <si>
    <t xml:space="preserve">NOT: Fazla mesai salt tanık beyanıyla ispatlanıyorsa hakkaniyet indirimi %30 uygulanır.</t>
  </si>
  <si>
    <t xml:space="preserve">A.2 FM KESİNTİLER</t>
  </si>
  <si>
    <t xml:space="preserve">GV Matrahı</t>
  </si>
  <si>
    <t xml:space="preserve">NET FAZLA MESAİ ÜCRETİ</t>
  </si>
  <si>
    <t xml:space="preserve">B. UBGT ÜCRETİ (Ulusal Bayram ve Genel Tatil)</t>
  </si>
  <si>
    <t xml:space="preserve">Günlük Çıplak Ücret (÷30)</t>
  </si>
  <si>
    <t xml:space="preserve">UBGT Çalışılan Gün Sayısı</t>
  </si>
  <si>
    <t xml:space="preserve">BRÜT UBGT ÜCRETİ (Tavan öncesi)</t>
  </si>
  <si>
    <t xml:space="preserve">Hakkaniyet Sonrası BRÜT UBGT</t>
  </si>
  <si>
    <t xml:space="preserve">B.2 UBGT KESİNTİLER</t>
  </si>
  <si>
    <t xml:space="preserve">NET UBGT ÜCRETİ</t>
  </si>
  <si>
    <t xml:space="preserve">İŞÇİLİK ALACAKLARI GENEL İCMAL TABLOSU – 2026</t>
  </si>
  <si>
    <t xml:space="preserve">BİLİRKİŞİ HESAP ÖZET SAYFASI</t>
  </si>
  <si>
    <t xml:space="preserve">ALACAK KALEMİ</t>
  </si>
  <si>
    <t xml:space="preserve">BRÜT TUTAR (TL)</t>
  </si>
  <si>
    <t xml:space="preserve">KESİNTİLER (TL)</t>
  </si>
  <si>
    <t xml:space="preserve">NET TUTAR (TL)</t>
  </si>
  <si>
    <t xml:space="preserve">KIDEM TAZMİNATI</t>
  </si>
  <si>
    <t xml:space="preserve">İHBAR TAZMİNATI</t>
  </si>
  <si>
    <t xml:space="preserve">YILLIK İZİN ÜCRETİ</t>
  </si>
  <si>
    <t xml:space="preserve">FAZLA MESAİ ÜCRETİ</t>
  </si>
  <si>
    <t xml:space="preserve">UBGT ÜCRETİ</t>
  </si>
  <si>
    <t xml:space="preserve">GENEL TOPLAM</t>
  </si>
  <si>
    <t xml:space="preserve">ÖZET BİLGİLER</t>
  </si>
  <si>
    <t xml:space="preserve">İşçi Adı / Dosya No</t>
  </si>
  <si>
    <t xml:space="preserve">Hizmet Süresi</t>
  </si>
  <si>
    <t xml:space="preserve">Çıplak Brüt Ücret (TL)</t>
  </si>
  <si>
    <t xml:space="preserve">Giydirilmiş Brüt Ücret (TL)</t>
  </si>
  <si>
    <t xml:space="preserve">Kıdem Tazminatı Tavanı (TL)</t>
  </si>
  <si>
    <t xml:space="preserve">Hesaplama Tarihi</t>
  </si>
  <si>
    <t xml:space="preserve">YASAL UYARI: Bu hesap aracı 2026 yılı yasal parametrelerine dayanmaktadır. Hesaplamalar bilirkişilik eğitimi ve ön hesaplama amacıyla hazırlanmıştır. Kesinleşmiş hukuki görüş yerine geçmez. Parametreler değiştiğinde güncellenmelidir. Kıdem Tazminatı Tavanı: 64.948,77 TL (01.01.2026–30.06.2026). Asgari Ücret: 33.030,00 TL Brüt / 28.075,50 TL Net.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</si>
</sst>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.mm\.yyyy"/>
    <numFmt numFmtId="166" formatCode="0"/>
    <numFmt numFmtId="167" formatCode="#,##0.00"/>
    <numFmt numFmtId="168" formatCode="0.0%"/>
    <numFmt numFmtId="169" formatCode="0.00"/>
    <numFmt numFmtId="170" formatCode="0.000%"/>
    <numFmt numFmtId="171" formatCode="#,##0"/>
    <numFmt numFmtId="172" formatCode="0%"/>
    <numFmt numFmtId="173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7F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7F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0000"/>
      <name val="Arial"/>
      <family val="0"/>
      <charset val="1"/>
    </font>
    <font>
      <sz val="10"/>
      <color rgb="FF0000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4B942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4B942"/>
        <bgColor rgb="FFFFD966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2"/>
    <col collapsed="false" customWidth="true" hidden="false" outlineLevel="0" max="7" min="4" style="1" width="18"/>
    <col collapsed="false" customWidth="true" hidden="false" outlineLevel="0" max="8" min="8" style="1" width="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3</v>
      </c>
      <c r="B6" s="5"/>
      <c r="C6" s="5"/>
      <c r="D6" s="5"/>
      <c r="E6" s="5" t="s">
        <v>4</v>
      </c>
      <c r="F6" s="5"/>
      <c r="G6" s="5"/>
      <c r="H6" s="5"/>
    </row>
    <row r="7" customFormat="false" ht="15" hidden="false" customHeight="true" outlineLevel="0" collapsed="false">
      <c r="C7" s="6" t="s">
        <v>5</v>
      </c>
      <c r="D7" s="7"/>
      <c r="E7" s="8" t="s">
        <v>6</v>
      </c>
      <c r="F7" s="8"/>
      <c r="G7" s="9" t="str">
        <f aca="false">IF(AND(ISNUMBER(D7),ISNUMBER(D8)),DATEDIF(D7,D8,"Y"),"")</f>
        <v/>
      </c>
      <c r="H7" s="10" t="s">
        <v>7</v>
      </c>
    </row>
    <row r="8" customFormat="false" ht="15" hidden="false" customHeight="true" outlineLevel="0" collapsed="false">
      <c r="C8" s="6" t="s">
        <v>8</v>
      </c>
      <c r="D8" s="7"/>
      <c r="E8" s="8" t="s">
        <v>9</v>
      </c>
      <c r="F8" s="8"/>
      <c r="G8" s="9" t="str">
        <f aca="false">IF(AND(ISNUMBER(D7),ISNUMBER(D8)),DATEDIF(D7,D8,"YM"),"")</f>
        <v/>
      </c>
      <c r="H8" s="10" t="s">
        <v>10</v>
      </c>
    </row>
    <row r="9" customFormat="false" ht="18" hidden="false" customHeight="true" outlineLevel="0" collapsed="false">
      <c r="C9" s="8" t="s">
        <v>11</v>
      </c>
      <c r="D9" s="8"/>
      <c r="E9" s="8" t="s">
        <v>12</v>
      </c>
      <c r="F9" s="8"/>
      <c r="G9" s="9" t="str">
        <f aca="false">IF(AND(ISNUMBER(D7),ISNUMBER(D8)),DATEDIF(D7,D8,"MD")+1,"")</f>
        <v/>
      </c>
      <c r="H9" s="10" t="s">
        <v>13</v>
      </c>
    </row>
    <row r="11" customFormat="false" ht="21.75" hidden="false" customHeight="true" outlineLevel="0" collapsed="false">
      <c r="A11" s="4" t="s">
        <v>14</v>
      </c>
      <c r="B11" s="4"/>
      <c r="C11" s="4"/>
      <c r="D11" s="4"/>
      <c r="E11" s="4"/>
      <c r="F11" s="4"/>
      <c r="G11" s="4"/>
      <c r="H11" s="4"/>
    </row>
    <row r="12" customFormat="false" ht="18" hidden="false" customHeight="true" outlineLevel="0" collapsed="false">
      <c r="C12" s="6" t="s">
        <v>15</v>
      </c>
      <c r="D12" s="11" t="n">
        <v>0</v>
      </c>
      <c r="E12" s="12" t="s">
        <v>16</v>
      </c>
      <c r="F12" s="12"/>
      <c r="G12" s="12"/>
      <c r="H12" s="12"/>
    </row>
    <row r="13" customFormat="false" ht="18" hidden="false" customHeight="true" outlineLevel="0" collapsed="false">
      <c r="C13" s="6" t="s">
        <v>17</v>
      </c>
      <c r="D13" s="11" t="n">
        <v>0</v>
      </c>
      <c r="E13" s="12" t="s">
        <v>18</v>
      </c>
      <c r="F13" s="12"/>
      <c r="G13" s="12"/>
      <c r="H13" s="12"/>
    </row>
    <row r="14" customFormat="false" ht="18" hidden="false" customHeight="true" outlineLevel="0" collapsed="false">
      <c r="C14" s="6" t="s">
        <v>19</v>
      </c>
      <c r="D14" s="11" t="n">
        <v>0</v>
      </c>
      <c r="E14" s="13"/>
      <c r="F14" s="13"/>
      <c r="G14" s="13"/>
      <c r="H14" s="13"/>
    </row>
    <row r="15" customFormat="false" ht="18" hidden="false" customHeight="true" outlineLevel="0" collapsed="false">
      <c r="C15" s="6" t="s">
        <v>20</v>
      </c>
      <c r="D15" s="11" t="n">
        <v>0</v>
      </c>
      <c r="E15" s="13"/>
      <c r="F15" s="13"/>
      <c r="G15" s="13"/>
      <c r="H15" s="13"/>
    </row>
    <row r="16" customFormat="false" ht="18" hidden="false" customHeight="true" outlineLevel="0" collapsed="false">
      <c r="C16" s="6" t="s">
        <v>21</v>
      </c>
      <c r="D16" s="11" t="n">
        <v>0</v>
      </c>
      <c r="E16" s="12" t="s">
        <v>22</v>
      </c>
      <c r="F16" s="12"/>
      <c r="G16" s="12"/>
      <c r="H16" s="12"/>
    </row>
    <row r="17" customFormat="false" ht="18" hidden="false" customHeight="true" outlineLevel="0" collapsed="false">
      <c r="C17" s="6" t="s">
        <v>23</v>
      </c>
      <c r="D17" s="11" t="n">
        <v>0</v>
      </c>
      <c r="E17" s="13"/>
      <c r="F17" s="13"/>
      <c r="G17" s="13"/>
      <c r="H17" s="13"/>
    </row>
    <row r="18" customFormat="false" ht="18" hidden="false" customHeight="true" outlineLevel="0" collapsed="false">
      <c r="C18" s="6" t="s">
        <v>24</v>
      </c>
      <c r="D18" s="11" t="n">
        <v>0</v>
      </c>
      <c r="E18" s="13"/>
      <c r="F18" s="13"/>
      <c r="G18" s="13"/>
      <c r="H18" s="13"/>
    </row>
    <row r="19" customFormat="false" ht="18" hidden="false" customHeight="true" outlineLevel="0" collapsed="false">
      <c r="C19" s="6" t="s">
        <v>25</v>
      </c>
      <c r="D19" s="11" t="n">
        <v>0</v>
      </c>
      <c r="E19" s="13"/>
      <c r="F19" s="13"/>
      <c r="G19" s="13"/>
      <c r="H19" s="13"/>
    </row>
    <row r="20" customFormat="false" ht="6" hidden="false" customHeight="true" outlineLevel="0" collapsed="false"/>
    <row r="21" customFormat="false" ht="21.75" hidden="false" customHeight="true" outlineLevel="0" collapsed="false">
      <c r="A21" s="4" t="s">
        <v>26</v>
      </c>
      <c r="B21" s="4"/>
      <c r="C21" s="4"/>
      <c r="D21" s="4"/>
      <c r="E21" s="4"/>
      <c r="F21" s="4"/>
      <c r="G21" s="4"/>
      <c r="H21" s="4"/>
    </row>
    <row r="22" customFormat="false" ht="18" hidden="false" customHeight="true" outlineLevel="0" collapsed="false">
      <c r="C22" s="14" t="s">
        <v>27</v>
      </c>
      <c r="D22" s="15" t="n">
        <f aca="false">D12</f>
        <v>0</v>
      </c>
      <c r="E22" s="12" t="s">
        <v>28</v>
      </c>
      <c r="F22" s="12"/>
      <c r="G22" s="12"/>
      <c r="H22" s="12"/>
    </row>
    <row r="23" customFormat="false" ht="18" hidden="false" customHeight="true" outlineLevel="0" collapsed="false">
      <c r="C23" s="14" t="s">
        <v>29</v>
      </c>
      <c r="D23" s="15" t="n">
        <f aca="false">D12+D14+D15+D16+D17+D18+D19</f>
        <v>0</v>
      </c>
      <c r="E23" s="12" t="s">
        <v>30</v>
      </c>
      <c r="F23" s="12"/>
      <c r="G23" s="12"/>
      <c r="H23" s="12"/>
    </row>
    <row r="24" customFormat="false" ht="18" hidden="false" customHeight="true" outlineLevel="0" collapsed="false">
      <c r="C24" s="14" t="s">
        <v>31</v>
      </c>
      <c r="D24" s="15" t="n">
        <f aca="false">D22*0.15</f>
        <v>0</v>
      </c>
      <c r="E24" s="13"/>
      <c r="F24" s="13"/>
      <c r="G24" s="13"/>
      <c r="H24" s="13"/>
    </row>
    <row r="25" customFormat="false" ht="18" hidden="false" customHeight="true" outlineLevel="0" collapsed="false">
      <c r="C25" s="14" t="s">
        <v>32</v>
      </c>
      <c r="D25" s="15" t="n">
        <f aca="false">D22*0.01</f>
        <v>0</v>
      </c>
      <c r="E25" s="13"/>
      <c r="F25" s="13"/>
      <c r="G25" s="13"/>
      <c r="H25" s="13"/>
    </row>
    <row r="26" customFormat="false" ht="18" hidden="false" customHeight="true" outlineLevel="0" collapsed="false">
      <c r="C26" s="14" t="s">
        <v>33</v>
      </c>
      <c r="D26" s="15" t="n">
        <f aca="false">B46</f>
        <v>0</v>
      </c>
      <c r="E26" s="12" t="s">
        <v>34</v>
      </c>
      <c r="F26" s="12"/>
      <c r="G26" s="12"/>
      <c r="H26" s="12"/>
    </row>
    <row r="27" customFormat="false" ht="18" hidden="false" customHeight="true" outlineLevel="0" collapsed="false">
      <c r="C27" s="14" t="s">
        <v>35</v>
      </c>
      <c r="D27" s="15" t="n">
        <f aca="false">B47</f>
        <v>0</v>
      </c>
      <c r="E27" s="13"/>
      <c r="F27" s="13"/>
      <c r="G27" s="13"/>
      <c r="H27" s="13"/>
    </row>
    <row r="28" customFormat="false" ht="6" hidden="false" customHeight="true" outlineLevel="0" collapsed="false"/>
    <row r="29" customFormat="false" ht="21.75" hidden="false" customHeight="true" outlineLevel="0" collapsed="false">
      <c r="A29" s="4" t="s">
        <v>36</v>
      </c>
      <c r="B29" s="4"/>
      <c r="C29" s="4"/>
      <c r="D29" s="4"/>
      <c r="E29" s="4"/>
      <c r="F29" s="4"/>
      <c r="G29" s="4"/>
      <c r="H29" s="4"/>
    </row>
    <row r="30" customFormat="false" ht="18" hidden="false" customHeight="true" outlineLevel="0" collapsed="false">
      <c r="C30" s="6" t="s">
        <v>37</v>
      </c>
      <c r="D30" s="16" t="n">
        <v>0</v>
      </c>
      <c r="E30" s="12" t="s">
        <v>38</v>
      </c>
      <c r="F30" s="12"/>
      <c r="G30" s="12"/>
      <c r="H30" s="12"/>
    </row>
    <row r="31" customFormat="false" ht="18" hidden="false" customHeight="true" outlineLevel="0" collapsed="false">
      <c r="C31" s="6" t="s">
        <v>39</v>
      </c>
      <c r="D31" s="16" t="n">
        <v>0</v>
      </c>
      <c r="E31" s="12" t="s">
        <v>40</v>
      </c>
      <c r="F31" s="12"/>
      <c r="G31" s="12"/>
      <c r="H31" s="12"/>
    </row>
    <row r="32" customFormat="false" ht="18" hidden="false" customHeight="true" outlineLevel="0" collapsed="false">
      <c r="C32" s="6" t="s">
        <v>41</v>
      </c>
      <c r="D32" s="16" t="n">
        <v>0</v>
      </c>
      <c r="E32" s="12" t="s">
        <v>42</v>
      </c>
      <c r="F32" s="12"/>
      <c r="G32" s="12"/>
      <c r="H32" s="12"/>
    </row>
    <row r="33" customFormat="false" ht="18" hidden="false" customHeight="true" outlineLevel="0" collapsed="false">
      <c r="C33" s="6" t="s">
        <v>43</v>
      </c>
      <c r="D33" s="16" t="n">
        <v>0</v>
      </c>
      <c r="E33" s="12" t="s">
        <v>38</v>
      </c>
      <c r="F33" s="12"/>
      <c r="G33" s="12"/>
      <c r="H33" s="12"/>
    </row>
    <row r="34" customFormat="false" ht="18" hidden="false" customHeight="true" outlineLevel="0" collapsed="false">
      <c r="C34" s="6" t="s">
        <v>44</v>
      </c>
      <c r="D34" s="17" t="n">
        <v>0.3</v>
      </c>
      <c r="E34" s="12" t="s">
        <v>45</v>
      </c>
      <c r="F34" s="12"/>
      <c r="G34" s="12"/>
      <c r="H34" s="12"/>
    </row>
    <row r="35" customFormat="false" ht="18" hidden="false" customHeight="true" outlineLevel="0" collapsed="false">
      <c r="C35" s="6" t="s">
        <v>46</v>
      </c>
      <c r="D35" s="11" t="n">
        <v>0</v>
      </c>
      <c r="E35" s="12" t="s">
        <v>47</v>
      </c>
      <c r="F35" s="12"/>
      <c r="G35" s="12"/>
      <c r="H35" s="12"/>
    </row>
    <row r="36" customFormat="false" ht="18" hidden="false" customHeight="true" outlineLevel="0" collapsed="false">
      <c r="C36" s="18" t="s">
        <v>48</v>
      </c>
      <c r="D36" s="19" t="n">
        <f aca="false">IF(D32&gt;0,D32,D31*IFERROR(DATEDIF(D7,D8,"d")/7,0))</f>
        <v>0</v>
      </c>
      <c r="E36" s="12" t="s">
        <v>49</v>
      </c>
      <c r="F36" s="12"/>
      <c r="G36" s="12"/>
      <c r="H36" s="12"/>
    </row>
    <row r="38" customFormat="false" ht="6" hidden="false" customHeight="true" outlineLevel="0" collapsed="false"/>
    <row r="39" customFormat="false" ht="21.75" hidden="false" customHeight="true" outlineLevel="0" collapsed="false">
      <c r="A39" s="4" t="s">
        <v>50</v>
      </c>
      <c r="B39" s="4"/>
      <c r="C39" s="4"/>
      <c r="D39" s="4"/>
      <c r="E39" s="4"/>
      <c r="F39" s="4"/>
      <c r="G39" s="4"/>
      <c r="H39" s="4"/>
    </row>
    <row r="40" customFormat="false" ht="18" hidden="false" customHeight="true" outlineLevel="0" collapsed="false">
      <c r="C40" s="20" t="s">
        <v>51</v>
      </c>
      <c r="D40" s="21" t="n">
        <v>33030</v>
      </c>
      <c r="E40" s="13"/>
      <c r="F40" s="13"/>
      <c r="G40" s="13"/>
      <c r="H40" s="13"/>
    </row>
    <row r="41" customFormat="false" ht="18" hidden="false" customHeight="true" outlineLevel="0" collapsed="false">
      <c r="C41" s="20" t="s">
        <v>52</v>
      </c>
      <c r="D41" s="21" t="n">
        <v>28075.5</v>
      </c>
      <c r="E41" s="13"/>
      <c r="F41" s="13"/>
      <c r="G41" s="13"/>
      <c r="H41" s="13"/>
    </row>
    <row r="42" customFormat="false" ht="18" hidden="false" customHeight="true" outlineLevel="0" collapsed="false">
      <c r="C42" s="20" t="s">
        <v>53</v>
      </c>
      <c r="D42" s="21" t="n">
        <v>64948.77</v>
      </c>
      <c r="E42" s="13"/>
      <c r="F42" s="13"/>
      <c r="G42" s="13"/>
      <c r="H42" s="13"/>
    </row>
    <row r="43" customFormat="false" ht="18" hidden="false" customHeight="true" outlineLevel="0" collapsed="false">
      <c r="C43" s="14" t="s">
        <v>54</v>
      </c>
      <c r="D43" s="22" t="n">
        <v>0.14</v>
      </c>
      <c r="E43" s="13"/>
      <c r="F43" s="13"/>
      <c r="G43" s="13"/>
      <c r="H43" s="13"/>
    </row>
    <row r="44" customFormat="false" ht="18" hidden="false" customHeight="true" outlineLevel="0" collapsed="false">
      <c r="C44" s="14" t="s">
        <v>55</v>
      </c>
      <c r="D44" s="22" t="n">
        <v>0.01</v>
      </c>
      <c r="E44" s="13"/>
      <c r="F44" s="13"/>
      <c r="G44" s="13"/>
      <c r="H44" s="13"/>
    </row>
    <row r="45" customFormat="false" ht="18" hidden="false" customHeight="true" outlineLevel="0" collapsed="false">
      <c r="C45" s="14" t="s">
        <v>56</v>
      </c>
      <c r="D45" s="23" t="n">
        <v>0.00759</v>
      </c>
      <c r="E45" s="13"/>
      <c r="F45" s="13"/>
      <c r="G45" s="13"/>
      <c r="H45" s="13"/>
    </row>
    <row r="46" customFormat="false" ht="18" hidden="false" customHeight="true" outlineLevel="0" collapsed="false">
      <c r="C46" s="24" t="s">
        <v>57</v>
      </c>
      <c r="D46" s="25" t="n">
        <v>4211.33</v>
      </c>
      <c r="E46" s="13"/>
      <c r="F46" s="13"/>
      <c r="G46" s="13"/>
      <c r="H46" s="13"/>
    </row>
    <row r="47" customFormat="false" ht="18" hidden="false" customHeight="true" outlineLevel="0" collapsed="false">
      <c r="C47" s="24" t="s">
        <v>58</v>
      </c>
      <c r="D47" s="25" t="n">
        <v>250.7</v>
      </c>
      <c r="E47" s="13"/>
      <c r="F47" s="13"/>
      <c r="G47" s="13"/>
      <c r="H47" s="13"/>
    </row>
    <row r="49" customFormat="false" ht="6" hidden="false" customHeight="true" outlineLevel="0" collapsed="false"/>
    <row r="50" customFormat="false" ht="21.75" hidden="false" customHeight="true" outlineLevel="0" collapsed="false">
      <c r="A50" s="4" t="s">
        <v>59</v>
      </c>
      <c r="B50" s="4"/>
      <c r="C50" s="4"/>
      <c r="D50" s="4"/>
      <c r="E50" s="4"/>
      <c r="F50" s="4"/>
      <c r="G50" s="4"/>
      <c r="H50" s="4"/>
    </row>
    <row r="51" customFormat="false" ht="18" hidden="false" customHeight="true" outlineLevel="0" collapsed="false">
      <c r="A51" s="5" t="s">
        <v>60</v>
      </c>
      <c r="B51" s="5"/>
      <c r="C51" s="5" t="s">
        <v>61</v>
      </c>
      <c r="D51" s="5"/>
      <c r="E51" s="5" t="s">
        <v>62</v>
      </c>
      <c r="F51" s="5"/>
      <c r="G51" s="5" t="s">
        <v>63</v>
      </c>
      <c r="H51" s="5"/>
    </row>
    <row r="52" customFormat="false" ht="18" hidden="false" customHeight="true" outlineLevel="0" collapsed="false">
      <c r="A52" s="26" t="n">
        <v>1</v>
      </c>
      <c r="B52" s="26"/>
      <c r="C52" s="27" t="n">
        <v>0</v>
      </c>
      <c r="D52" s="27"/>
      <c r="E52" s="27" t="n">
        <v>190000</v>
      </c>
      <c r="F52" s="27"/>
      <c r="G52" s="28" t="n">
        <v>0.15</v>
      </c>
      <c r="H52" s="28"/>
    </row>
    <row r="53" customFormat="false" ht="18" hidden="false" customHeight="true" outlineLevel="0" collapsed="false">
      <c r="A53" s="26" t="n">
        <v>2</v>
      </c>
      <c r="B53" s="26"/>
      <c r="C53" s="27" t="n">
        <v>190000</v>
      </c>
      <c r="D53" s="27"/>
      <c r="E53" s="27" t="n">
        <v>400000</v>
      </c>
      <c r="F53" s="27"/>
      <c r="G53" s="28" t="n">
        <v>0.2</v>
      </c>
      <c r="H53" s="28"/>
    </row>
    <row r="54" customFormat="false" ht="18" hidden="false" customHeight="true" outlineLevel="0" collapsed="false">
      <c r="A54" s="26" t="n">
        <v>3</v>
      </c>
      <c r="B54" s="26"/>
      <c r="C54" s="27" t="n">
        <v>400000</v>
      </c>
      <c r="D54" s="27"/>
      <c r="E54" s="27" t="n">
        <v>1500000</v>
      </c>
      <c r="F54" s="27"/>
      <c r="G54" s="28" t="n">
        <v>0.27</v>
      </c>
      <c r="H54" s="28"/>
    </row>
    <row r="55" customFormat="false" ht="18" hidden="false" customHeight="true" outlineLevel="0" collapsed="false">
      <c r="A55" s="26" t="n">
        <v>4</v>
      </c>
      <c r="B55" s="26"/>
      <c r="C55" s="27" t="n">
        <v>1500000</v>
      </c>
      <c r="D55" s="27"/>
      <c r="E55" s="27" t="n">
        <v>5300000</v>
      </c>
      <c r="F55" s="27"/>
      <c r="G55" s="28" t="n">
        <v>0.35</v>
      </c>
      <c r="H55" s="28"/>
    </row>
    <row r="56" customFormat="false" ht="18" hidden="false" customHeight="true" outlineLevel="0" collapsed="false">
      <c r="A56" s="26" t="n">
        <v>5</v>
      </c>
      <c r="B56" s="26"/>
      <c r="C56" s="27" t="n">
        <v>5300000</v>
      </c>
      <c r="D56" s="27"/>
      <c r="E56" s="29" t="s">
        <v>64</v>
      </c>
      <c r="F56" s="29"/>
      <c r="G56" s="28" t="n">
        <v>0.4</v>
      </c>
      <c r="H56" s="28"/>
    </row>
    <row r="58" customFormat="false" ht="6" hidden="false" customHeight="true" outlineLevel="0" collapsed="false"/>
    <row r="59" customFormat="false" ht="15" hidden="false" customHeight="true" outlineLevel="0" collapsed="false">
      <c r="A59" s="30" t="s">
        <v>65</v>
      </c>
      <c r="B59" s="30"/>
      <c r="C59" s="30"/>
      <c r="D59" s="30"/>
      <c r="E59" s="30"/>
      <c r="F59" s="30"/>
      <c r="G59" s="30"/>
      <c r="H59" s="30"/>
    </row>
    <row r="60" customFormat="false" ht="15" hidden="false" customHeight="true" outlineLevel="0" collapsed="false">
      <c r="A60" s="30"/>
      <c r="B60" s="30"/>
      <c r="C60" s="30"/>
      <c r="D60" s="30"/>
      <c r="E60" s="30"/>
      <c r="F60" s="30"/>
      <c r="G60" s="30"/>
      <c r="H60" s="30"/>
    </row>
    <row r="61" customFormat="false" ht="15" hidden="false" customHeight="true" outlineLevel="0" collapsed="false">
      <c r="A61" s="30"/>
      <c r="B61" s="30"/>
      <c r="C61" s="30"/>
      <c r="D61" s="30"/>
      <c r="E61" s="30"/>
      <c r="F61" s="30"/>
      <c r="G61" s="30"/>
      <c r="H61" s="30"/>
    </row>
    <row r="62" customFormat="false" ht="15" hidden="false" customHeight="true" outlineLevel="0" collapsed="false">
      <c r="A62" s="30"/>
      <c r="B62" s="30"/>
      <c r="C62" s="30"/>
      <c r="D62" s="30"/>
      <c r="E62" s="30"/>
      <c r="F62" s="30"/>
      <c r="G62" s="30"/>
      <c r="H62" s="30"/>
    </row>
  </sheetData>
  <mergeCells count="52">
    <mergeCell ref="A1:H2"/>
    <mergeCell ref="A3:H3"/>
    <mergeCell ref="A5:H5"/>
    <mergeCell ref="A6:D6"/>
    <mergeCell ref="E6:H6"/>
    <mergeCell ref="E7:F7"/>
    <mergeCell ref="E8:F8"/>
    <mergeCell ref="C9:D9"/>
    <mergeCell ref="E9:F9"/>
    <mergeCell ref="A11:H11"/>
    <mergeCell ref="E12:H12"/>
    <mergeCell ref="E13:H13"/>
    <mergeCell ref="E16:H16"/>
    <mergeCell ref="A21:H21"/>
    <mergeCell ref="E22:H22"/>
    <mergeCell ref="E23:H23"/>
    <mergeCell ref="E26:H26"/>
    <mergeCell ref="A29:H29"/>
    <mergeCell ref="E30:H30"/>
    <mergeCell ref="E31:H31"/>
    <mergeCell ref="E32:H32"/>
    <mergeCell ref="E33:H33"/>
    <mergeCell ref="E34:H34"/>
    <mergeCell ref="E35:H35"/>
    <mergeCell ref="E36:H36"/>
    <mergeCell ref="A39:H39"/>
    <mergeCell ref="A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9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6"/>
    <col collapsed="false" customWidth="true" hidden="false" outlineLevel="0" max="4" min="4" style="1" width="20"/>
    <col collapsed="false" customWidth="true" hidden="false" outlineLevel="0" max="8" min="5" style="1" width="6"/>
  </cols>
  <sheetData>
    <row r="1" customFormat="false" ht="27.75" hidden="false" customHeight="true" outlineLevel="0" collapsed="false">
      <c r="A1" s="31" t="s">
        <v>66</v>
      </c>
      <c r="B1" s="31"/>
      <c r="C1" s="31"/>
      <c r="D1" s="31"/>
      <c r="E1" s="31"/>
      <c r="F1" s="31"/>
      <c r="G1" s="31"/>
      <c r="H1" s="31"/>
    </row>
    <row r="2" customFormat="false" ht="15" hidden="false" customHeight="true" outlineLevel="0" collapsed="false">
      <c r="A2" s="31"/>
      <c r="B2" s="31"/>
      <c r="C2" s="31"/>
      <c r="D2" s="31"/>
      <c r="E2" s="31"/>
      <c r="F2" s="31"/>
      <c r="G2" s="31"/>
      <c r="H2" s="31"/>
    </row>
    <row r="3" customFormat="false" ht="15" hidden="false" customHeight="true" outlineLevel="0" collapsed="false">
      <c r="A3" s="32" t="s">
        <v>67</v>
      </c>
      <c r="B3" s="32"/>
      <c r="C3" s="32"/>
      <c r="D3" s="32"/>
      <c r="E3" s="32"/>
      <c r="F3" s="32"/>
      <c r="G3" s="32"/>
      <c r="H3" s="32"/>
    </row>
    <row r="5" customFormat="false" ht="21.75" hidden="false" customHeight="true" outlineLevel="0" collapsed="false">
      <c r="A5" s="4" t="s">
        <v>68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C6" s="6" t="s">
        <v>5</v>
      </c>
      <c r="D6" s="33" t="n">
        <f aca="false">'GİRDİ &amp; PARAMETRELER'!D7</f>
        <v>0</v>
      </c>
      <c r="E6" s="13"/>
      <c r="F6" s="13"/>
      <c r="G6" s="13"/>
      <c r="H6" s="13"/>
    </row>
    <row r="7" customFormat="false" ht="18" hidden="false" customHeight="true" outlineLevel="0" collapsed="false">
      <c r="C7" s="6" t="s">
        <v>8</v>
      </c>
      <c r="D7" s="33" t="n">
        <f aca="false">'GİRDİ &amp; PARAMETRELER'!D8</f>
        <v>0</v>
      </c>
      <c r="E7" s="13"/>
      <c r="F7" s="13"/>
      <c r="G7" s="13"/>
      <c r="H7" s="13"/>
    </row>
    <row r="8" customFormat="false" ht="18" hidden="false" customHeight="true" outlineLevel="0" collapsed="false">
      <c r="C8" s="6" t="s">
        <v>69</v>
      </c>
      <c r="D8" s="34" t="str">
        <f aca="false">'GİRDİ &amp; PARAMETRELER'!G7</f>
        <v/>
      </c>
      <c r="E8" s="13"/>
      <c r="F8" s="13"/>
      <c r="G8" s="13"/>
      <c r="H8" s="13"/>
    </row>
    <row r="9" customFormat="false" ht="18" hidden="false" customHeight="true" outlineLevel="0" collapsed="false">
      <c r="C9" s="6" t="s">
        <v>70</v>
      </c>
      <c r="D9" s="34" t="str">
        <f aca="false">'GİRDİ &amp; PARAMETRELER'!G8</f>
        <v/>
      </c>
      <c r="E9" s="13"/>
      <c r="F9" s="13"/>
      <c r="G9" s="13"/>
      <c r="H9" s="13"/>
    </row>
    <row r="10" customFormat="false" ht="18" hidden="false" customHeight="true" outlineLevel="0" collapsed="false">
      <c r="C10" s="6" t="s">
        <v>11</v>
      </c>
      <c r="D10" s="34" t="str">
        <f aca="false">'GİRDİ &amp; PARAMETRELER'!G9</f>
        <v/>
      </c>
      <c r="E10" s="13"/>
      <c r="F10" s="13"/>
      <c r="G10" s="13"/>
      <c r="H10" s="13"/>
    </row>
    <row r="11" customFormat="false" ht="18" hidden="false" customHeight="true" outlineLevel="0" collapsed="false">
      <c r="C11" s="6" t="s">
        <v>29</v>
      </c>
      <c r="D11" s="35" t="n">
        <f aca="false">'GİRDİ &amp; PARAMETRELER'!D23</f>
        <v>0</v>
      </c>
      <c r="E11" s="13"/>
      <c r="F11" s="13"/>
      <c r="G11" s="13"/>
      <c r="H11" s="13"/>
    </row>
    <row r="12" customFormat="false" ht="18" hidden="false" customHeight="true" outlineLevel="0" collapsed="false">
      <c r="C12" s="6" t="s">
        <v>71</v>
      </c>
      <c r="D12" s="35" t="n">
        <f aca="false">'GİRDİ &amp; PARAMETRELER'!D42</f>
        <v>64948.77</v>
      </c>
      <c r="E12" s="13"/>
      <c r="F12" s="13"/>
      <c r="G12" s="13"/>
      <c r="H12" s="13"/>
    </row>
    <row r="13" customFormat="false" ht="18" hidden="false" customHeight="true" outlineLevel="0" collapsed="false">
      <c r="C13" s="6" t="s">
        <v>72</v>
      </c>
      <c r="D13" s="35" t="n">
        <f aca="false">MIN(D11,D12)</f>
        <v>0</v>
      </c>
      <c r="E13" s="13"/>
      <c r="F13" s="13"/>
      <c r="G13" s="13"/>
      <c r="H13" s="13"/>
    </row>
    <row r="14" customFormat="false" ht="18" hidden="false" customHeight="true" outlineLevel="0" collapsed="false">
      <c r="C14" s="36" t="str">
        <f aca="false">IF(D11&gt;D12,"⚠ DİKKAT: Giydirilmiş ücret tavanı aşıyor! Hesaplamada tavan esas alınmaktadır.","✓ Ücret tavan altında. Gerçek ücret esas alınmaktadır.")</f>
        <v>✓ Ücret tavan altında. Gerçek ücret esas alınmaktadır.</v>
      </c>
      <c r="D14" s="36"/>
      <c r="E14" s="36"/>
      <c r="F14" s="36"/>
      <c r="G14" s="36"/>
      <c r="H14" s="36"/>
    </row>
    <row r="16" customFormat="false" ht="21.75" hidden="false" customHeight="true" outlineLevel="0" collapsed="false">
      <c r="A16" s="4" t="s">
        <v>73</v>
      </c>
      <c r="B16" s="4"/>
      <c r="C16" s="4"/>
      <c r="D16" s="4"/>
      <c r="E16" s="4"/>
      <c r="F16" s="4"/>
      <c r="G16" s="4"/>
      <c r="H16" s="4"/>
    </row>
    <row r="17" customFormat="false" ht="19.5" hidden="false" customHeight="true" outlineLevel="0" collapsed="false">
      <c r="C17" s="14" t="s">
        <v>74</v>
      </c>
      <c r="D17" s="37" t="n">
        <f aca="false">IFERROR(D13*IF(ISNUMBER(D8),D8,0),0)</f>
        <v>0</v>
      </c>
      <c r="E17" s="38" t="s">
        <v>75</v>
      </c>
      <c r="F17" s="13"/>
      <c r="G17" s="13"/>
      <c r="H17" s="13"/>
    </row>
    <row r="18" customFormat="false" ht="19.5" hidden="false" customHeight="true" outlineLevel="0" collapsed="false">
      <c r="C18" s="14" t="s">
        <v>76</v>
      </c>
      <c r="D18" s="37" t="n">
        <f aca="false">IFERROR(D13/365*IF(ISNUMBER(D10),D10,0),0)</f>
        <v>0</v>
      </c>
      <c r="E18" s="38" t="s">
        <v>75</v>
      </c>
      <c r="F18" s="13"/>
      <c r="G18" s="13"/>
      <c r="H18" s="13"/>
    </row>
    <row r="19" customFormat="false" ht="19.5" hidden="false" customHeight="true" outlineLevel="0" collapsed="false">
      <c r="C19" s="39" t="s">
        <v>77</v>
      </c>
      <c r="D19" s="40" t="n">
        <f aca="false">D17+D18</f>
        <v>0</v>
      </c>
      <c r="E19" s="38" t="s">
        <v>75</v>
      </c>
      <c r="F19" s="13"/>
      <c r="G19" s="13"/>
      <c r="H19" s="13"/>
    </row>
    <row r="21" customFormat="false" ht="21.75" hidden="false" customHeight="true" outlineLevel="0" collapsed="false">
      <c r="A21" s="4" t="s">
        <v>78</v>
      </c>
      <c r="B21" s="4"/>
      <c r="C21" s="4"/>
      <c r="D21" s="4"/>
      <c r="E21" s="4"/>
      <c r="F21" s="4"/>
      <c r="G21" s="4"/>
      <c r="H21" s="4"/>
    </row>
    <row r="22" customFormat="false" ht="18" hidden="false" customHeight="true" outlineLevel="0" collapsed="false">
      <c r="C22" s="6" t="s">
        <v>79</v>
      </c>
      <c r="D22" s="37" t="n">
        <f aca="false">D19*0.00759</f>
        <v>0</v>
      </c>
      <c r="E22" s="41" t="s">
        <v>80</v>
      </c>
      <c r="F22" s="41"/>
      <c r="G22" s="41"/>
      <c r="H22" s="41"/>
    </row>
    <row r="23" customFormat="false" ht="18" hidden="false" customHeight="true" outlineLevel="0" collapsed="false">
      <c r="C23" s="6" t="s">
        <v>81</v>
      </c>
      <c r="D23" s="42" t="n">
        <f aca="false">MAX(0,'GİRDİ &amp; PARAMETRELER'!D47-'GİRDİ &amp; PARAMETRELER'!D27)</f>
        <v>250.7</v>
      </c>
      <c r="E23" s="43" t="s">
        <v>82</v>
      </c>
      <c r="F23" s="43"/>
      <c r="G23" s="43"/>
      <c r="H23" s="43"/>
    </row>
    <row r="24" customFormat="false" ht="19.5" hidden="false" customHeight="true" outlineLevel="0" collapsed="false">
      <c r="C24" s="44" t="s">
        <v>83</v>
      </c>
      <c r="D24" s="45" t="n">
        <f aca="false">MAX(0,D22-D23)</f>
        <v>0</v>
      </c>
      <c r="E24" s="13"/>
      <c r="F24" s="13"/>
      <c r="G24" s="13"/>
      <c r="H24" s="13"/>
    </row>
    <row r="26" customFormat="false" ht="21.75" hidden="false" customHeight="true" outlineLevel="0" collapsed="false">
      <c r="A26" s="4" t="s">
        <v>84</v>
      </c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C27" s="46" t="s">
        <v>77</v>
      </c>
      <c r="D27" s="47" t="n">
        <f aca="false">D19</f>
        <v>0</v>
      </c>
    </row>
    <row r="28" customFormat="false" ht="18" hidden="false" customHeight="true" outlineLevel="0" collapsed="false">
      <c r="C28" s="6" t="s">
        <v>85</v>
      </c>
      <c r="D28" s="48" t="n">
        <f aca="false">-D24</f>
        <v>-0</v>
      </c>
    </row>
    <row r="29" customFormat="false" ht="24" hidden="false" customHeight="true" outlineLevel="0" collapsed="false">
      <c r="C29" s="49" t="s">
        <v>86</v>
      </c>
      <c r="D29" s="50" t="n">
        <f aca="false">D27+D28</f>
        <v>0</v>
      </c>
      <c r="E29" s="13"/>
      <c r="F29" s="13"/>
      <c r="G29" s="13"/>
      <c r="H29" s="13"/>
    </row>
  </sheetData>
  <mergeCells count="9">
    <mergeCell ref="A1:H2"/>
    <mergeCell ref="A3:H3"/>
    <mergeCell ref="A5:H5"/>
    <mergeCell ref="C14:H14"/>
    <mergeCell ref="A16:H16"/>
    <mergeCell ref="A21:H21"/>
    <mergeCell ref="E22:H22"/>
    <mergeCell ref="E23:H23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6"/>
    <col collapsed="false" customWidth="true" hidden="false" outlineLevel="0" max="4" min="4" style="1" width="20"/>
    <col collapsed="false" customWidth="true" hidden="false" outlineLevel="0" max="8" min="5" style="1" width="8"/>
  </cols>
  <sheetData>
    <row r="1" customFormat="false" ht="27.75" hidden="false" customHeight="true" outlineLevel="0" collapsed="false">
      <c r="A1" s="31" t="s">
        <v>87</v>
      </c>
      <c r="B1" s="31"/>
      <c r="C1" s="31"/>
      <c r="D1" s="31"/>
      <c r="E1" s="31"/>
      <c r="F1" s="31"/>
      <c r="G1" s="31"/>
      <c r="H1" s="31"/>
    </row>
    <row r="2" customFormat="false" ht="15" hidden="false" customHeight="true" outlineLevel="0" collapsed="false">
      <c r="A2" s="31"/>
      <c r="B2" s="31"/>
      <c r="C2" s="31"/>
      <c r="D2" s="31"/>
      <c r="E2" s="31"/>
      <c r="F2" s="31"/>
      <c r="G2" s="31"/>
      <c r="H2" s="31"/>
    </row>
    <row r="3" customFormat="false" ht="15" hidden="false" customHeight="true" outlineLevel="0" collapsed="false">
      <c r="A3" s="32" t="s">
        <v>88</v>
      </c>
      <c r="B3" s="32"/>
      <c r="C3" s="32"/>
      <c r="D3" s="32"/>
      <c r="E3" s="32"/>
      <c r="F3" s="32"/>
      <c r="G3" s="32"/>
      <c r="H3" s="32"/>
    </row>
    <row r="5" customFormat="false" ht="21.75" hidden="false" customHeight="true" outlineLevel="0" collapsed="false">
      <c r="A5" s="4" t="s">
        <v>89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C6" s="5" t="s">
        <v>90</v>
      </c>
      <c r="D6" s="5"/>
      <c r="E6" s="5"/>
      <c r="F6" s="5" t="s">
        <v>91</v>
      </c>
      <c r="G6" s="5"/>
      <c r="H6" s="5"/>
    </row>
    <row r="7" customFormat="false" ht="18" hidden="false" customHeight="true" outlineLevel="0" collapsed="false">
      <c r="C7" s="51" t="s">
        <v>92</v>
      </c>
      <c r="D7" s="51"/>
      <c r="E7" s="51"/>
      <c r="F7" s="52" t="n">
        <v>14</v>
      </c>
      <c r="G7" s="52"/>
      <c r="H7" s="52"/>
    </row>
    <row r="8" customFormat="false" ht="18" hidden="false" customHeight="true" outlineLevel="0" collapsed="false">
      <c r="C8" s="51" t="s">
        <v>93</v>
      </c>
      <c r="D8" s="51"/>
      <c r="E8" s="51"/>
      <c r="F8" s="52" t="n">
        <v>28</v>
      </c>
      <c r="G8" s="52"/>
      <c r="H8" s="52"/>
    </row>
    <row r="9" customFormat="false" ht="18" hidden="false" customHeight="true" outlineLevel="0" collapsed="false">
      <c r="C9" s="51" t="s">
        <v>94</v>
      </c>
      <c r="D9" s="51"/>
      <c r="E9" s="51"/>
      <c r="F9" s="52" t="n">
        <v>42</v>
      </c>
      <c r="G9" s="52"/>
      <c r="H9" s="52"/>
    </row>
    <row r="10" customFormat="false" ht="18" hidden="false" customHeight="true" outlineLevel="0" collapsed="false">
      <c r="C10" s="51" t="s">
        <v>95</v>
      </c>
      <c r="D10" s="51"/>
      <c r="E10" s="51"/>
      <c r="F10" s="52" t="n">
        <v>56</v>
      </c>
      <c r="G10" s="52"/>
      <c r="H10" s="52"/>
    </row>
    <row r="12" customFormat="false" ht="21.75" hidden="false" customHeight="true" outlineLevel="0" collapsed="false">
      <c r="A12" s="4" t="s">
        <v>96</v>
      </c>
      <c r="B12" s="4"/>
      <c r="C12" s="4"/>
      <c r="D12" s="4"/>
      <c r="E12" s="4"/>
      <c r="F12" s="4"/>
      <c r="G12" s="4"/>
      <c r="H12" s="4"/>
    </row>
    <row r="13" customFormat="false" ht="18" hidden="false" customHeight="true" outlineLevel="0" collapsed="false">
      <c r="C13" s="6" t="s">
        <v>97</v>
      </c>
      <c r="D13" s="19" t="n">
        <f aca="false">IFERROR('GİRDİ &amp; PARAMETRELER'!G7+'GİRDİ &amp; PARAMETRELER'!G8/12+'GİRDİ &amp; PARAMETRELER'!G9/365,0)</f>
        <v>0</v>
      </c>
    </row>
    <row r="14" customFormat="false" ht="18" hidden="false" customHeight="true" outlineLevel="0" collapsed="false">
      <c r="C14" s="44" t="s">
        <v>98</v>
      </c>
      <c r="D14" s="53" t="n">
        <f aca="false">IF(D13&lt;0.5,14,IF(D13&lt;1.5,28,IF(D13&lt;3,42,56)))</f>
        <v>14</v>
      </c>
      <c r="E14" s="12" t="s">
        <v>99</v>
      </c>
      <c r="F14" s="12"/>
      <c r="G14" s="12"/>
      <c r="H14" s="12"/>
    </row>
    <row r="16" customFormat="false" ht="21.75" hidden="false" customHeight="true" outlineLevel="0" collapsed="false">
      <c r="A16" s="4" t="s">
        <v>100</v>
      </c>
      <c r="B16" s="4"/>
      <c r="C16" s="4"/>
      <c r="D16" s="4"/>
      <c r="E16" s="4"/>
      <c r="F16" s="4"/>
      <c r="G16" s="4"/>
      <c r="H16" s="4"/>
    </row>
    <row r="17" customFormat="false" ht="18" hidden="false" customHeight="true" outlineLevel="0" collapsed="false">
      <c r="C17" s="14" t="s">
        <v>29</v>
      </c>
      <c r="D17" s="37" t="n">
        <f aca="false">IFERROR('GİRDİ &amp; PARAMETRELER'!D23,0)</f>
        <v>0</v>
      </c>
      <c r="E17" s="13"/>
      <c r="F17" s="13"/>
      <c r="G17" s="13"/>
      <c r="H17" s="13"/>
    </row>
    <row r="18" customFormat="false" ht="18" hidden="false" customHeight="true" outlineLevel="0" collapsed="false">
      <c r="C18" s="14" t="s">
        <v>101</v>
      </c>
      <c r="D18" s="37" t="n">
        <f aca="false">IFERROR(D17/30,0)</f>
        <v>0</v>
      </c>
      <c r="E18" s="13"/>
      <c r="F18" s="13"/>
      <c r="G18" s="13"/>
      <c r="H18" s="13"/>
    </row>
    <row r="19" customFormat="false" ht="18" hidden="false" customHeight="true" outlineLevel="0" collapsed="false">
      <c r="C19" s="14" t="s">
        <v>102</v>
      </c>
      <c r="D19" s="54" t="n">
        <f aca="false">D14</f>
        <v>14</v>
      </c>
      <c r="E19" s="13"/>
      <c r="F19" s="13"/>
      <c r="G19" s="13"/>
      <c r="H19" s="13"/>
    </row>
    <row r="20" customFormat="false" ht="19.5" hidden="false" customHeight="true" outlineLevel="0" collapsed="false">
      <c r="C20" s="39" t="s">
        <v>103</v>
      </c>
      <c r="D20" s="40" t="n">
        <f aca="false">IFERROR(D18*D19,0)</f>
        <v>0</v>
      </c>
      <c r="E20" s="13"/>
      <c r="F20" s="13"/>
      <c r="G20" s="13"/>
      <c r="H20" s="13"/>
    </row>
    <row r="22" customFormat="false" ht="21.75" hidden="false" customHeight="true" outlineLevel="0" collapsed="false">
      <c r="A22" s="4" t="s">
        <v>104</v>
      </c>
      <c r="B22" s="4"/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C23" s="6" t="s">
        <v>46</v>
      </c>
      <c r="D23" s="55" t="n">
        <f aca="false">'GİRDİ &amp; PARAMETRELER'!D35</f>
        <v>0</v>
      </c>
    </row>
    <row r="24" customFormat="false" ht="18" hidden="false" customHeight="true" outlineLevel="0" collapsed="false">
      <c r="C24" s="6" t="s">
        <v>105</v>
      </c>
      <c r="D24" s="37" t="n">
        <f aca="false">D20</f>
        <v>0</v>
      </c>
    </row>
    <row r="25" customFormat="false" ht="18" hidden="false" customHeight="true" outlineLevel="0" collapsed="false">
      <c r="C25" s="6" t="s">
        <v>106</v>
      </c>
      <c r="D25" s="37" t="n">
        <f aca="false">IF('GİRDİ &amp; PARAMETRELER'!D35+D24&lt;=190000,D24*0.15,IF('GİRDİ &amp; PARAMETRELER'!D35&gt;=5300000,D24*0.4,IF('GİRDİ &amp; PARAMETRELER'!D35&gt;=1500000,D24*0.35,IF('GİRDİ &amp; PARAMETRELER'!D35&gt;=400000,D24*0.27,IF('GİRDİ &amp; PARAMETRELER'!D35&gt;=190000,D24*0.2,D24*0.15)))))</f>
        <v>0</v>
      </c>
      <c r="E25" s="12" t="s">
        <v>107</v>
      </c>
      <c r="F25" s="12"/>
      <c r="G25" s="12"/>
      <c r="H25" s="12"/>
    </row>
    <row r="26" customFormat="false" ht="18" hidden="false" customHeight="true" outlineLevel="0" collapsed="false">
      <c r="C26" s="6" t="s">
        <v>108</v>
      </c>
      <c r="D26" s="42" t="n">
        <f aca="false">MAX(0,'GİRDİ &amp; PARAMETRELER'!D46-'GİRDİ &amp; PARAMETRELER'!D26)</f>
        <v>4211.33</v>
      </c>
    </row>
    <row r="27" customFormat="false" ht="18" hidden="false" customHeight="true" outlineLevel="0" collapsed="false">
      <c r="C27" s="44" t="s">
        <v>109</v>
      </c>
      <c r="D27" s="45" t="n">
        <f aca="false">MAX(0,D25-D26)</f>
        <v>0</v>
      </c>
    </row>
    <row r="28" customFormat="false" ht="18" hidden="false" customHeight="true" outlineLevel="0" collapsed="false">
      <c r="C28" s="6" t="s">
        <v>79</v>
      </c>
      <c r="D28" s="37" t="n">
        <f aca="false">D20*0.00759</f>
        <v>0</v>
      </c>
    </row>
    <row r="29" customFormat="false" ht="18" hidden="false" customHeight="true" outlineLevel="0" collapsed="false">
      <c r="C29" s="6" t="s">
        <v>110</v>
      </c>
      <c r="D29" s="42" t="n">
        <f aca="false">MAX(0,'GİRDİ &amp; PARAMETRELER'!D47-'GİRDİ &amp; PARAMETRELER'!D27)</f>
        <v>250.7</v>
      </c>
    </row>
    <row r="30" customFormat="false" ht="18" hidden="false" customHeight="true" outlineLevel="0" collapsed="false">
      <c r="C30" s="44" t="s">
        <v>111</v>
      </c>
      <c r="D30" s="45" t="n">
        <f aca="false">MAX(0,D28-D29)</f>
        <v>0</v>
      </c>
    </row>
    <row r="32" customFormat="false" ht="21.75" hidden="false" customHeight="true" outlineLevel="0" collapsed="false">
      <c r="A32" s="4" t="s">
        <v>112</v>
      </c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C33" s="46" t="s">
        <v>103</v>
      </c>
      <c r="D33" s="47" t="n">
        <f aca="false">D20</f>
        <v>0</v>
      </c>
      <c r="E33" s="13"/>
      <c r="F33" s="13"/>
      <c r="G33" s="13"/>
      <c r="H33" s="13"/>
    </row>
    <row r="34" customFormat="false" ht="15" hidden="false" customHeight="true" outlineLevel="0" collapsed="false">
      <c r="C34" s="6" t="s">
        <v>113</v>
      </c>
      <c r="D34" s="48" t="n">
        <f aca="false">-D27</f>
        <v>-0</v>
      </c>
      <c r="E34" s="13"/>
      <c r="F34" s="13"/>
      <c r="G34" s="13"/>
      <c r="H34" s="13"/>
    </row>
    <row r="35" customFormat="false" ht="15" hidden="false" customHeight="true" outlineLevel="0" collapsed="false">
      <c r="C35" s="6" t="s">
        <v>85</v>
      </c>
      <c r="D35" s="48" t="n">
        <f aca="false">-D30</f>
        <v>-0</v>
      </c>
      <c r="E35" s="13"/>
      <c r="F35" s="13"/>
      <c r="G35" s="13"/>
      <c r="H35" s="13"/>
    </row>
    <row r="36" customFormat="false" ht="24" hidden="false" customHeight="true" outlineLevel="0" collapsed="false">
      <c r="C36" s="49" t="s">
        <v>114</v>
      </c>
      <c r="D36" s="50" t="n">
        <f aca="false">D33+D34+D35</f>
        <v>0</v>
      </c>
      <c r="E36" s="13"/>
      <c r="F36" s="13"/>
      <c r="G36" s="13"/>
      <c r="H36" s="13"/>
    </row>
  </sheetData>
  <mergeCells count="19">
    <mergeCell ref="A1:H2"/>
    <mergeCell ref="A3:H3"/>
    <mergeCell ref="A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A12:H12"/>
    <mergeCell ref="E14:H14"/>
    <mergeCell ref="A16:H16"/>
    <mergeCell ref="A22:H22"/>
    <mergeCell ref="E25:H25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6"/>
    <col collapsed="false" customWidth="true" hidden="false" outlineLevel="0" max="4" min="4" style="1" width="20"/>
    <col collapsed="false" customWidth="true" hidden="false" outlineLevel="0" max="8" min="5" style="1" width="8"/>
  </cols>
  <sheetData>
    <row r="1" customFormat="false" ht="27.75" hidden="false" customHeight="true" outlineLevel="0" collapsed="false">
      <c r="A1" s="31" t="s">
        <v>115</v>
      </c>
      <c r="B1" s="31"/>
      <c r="C1" s="31"/>
      <c r="D1" s="31"/>
      <c r="E1" s="31"/>
      <c r="F1" s="31"/>
      <c r="G1" s="31"/>
      <c r="H1" s="31"/>
    </row>
    <row r="2" customFormat="false" ht="15" hidden="false" customHeight="true" outlineLevel="0" collapsed="false">
      <c r="A2" s="31"/>
      <c r="B2" s="31"/>
      <c r="C2" s="31"/>
      <c r="D2" s="31"/>
      <c r="E2" s="31"/>
      <c r="F2" s="31"/>
      <c r="G2" s="31"/>
      <c r="H2" s="31"/>
    </row>
    <row r="3" customFormat="false" ht="15" hidden="false" customHeight="true" outlineLevel="0" collapsed="false">
      <c r="A3" s="32" t="s">
        <v>116</v>
      </c>
      <c r="B3" s="32"/>
      <c r="C3" s="32"/>
      <c r="D3" s="32"/>
      <c r="E3" s="32"/>
      <c r="F3" s="32"/>
      <c r="G3" s="32"/>
      <c r="H3" s="32"/>
    </row>
    <row r="5" customFormat="false" ht="21.75" hidden="false" customHeight="true" outlineLevel="0" collapsed="false">
      <c r="A5" s="4" t="s">
        <v>117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C6" s="5" t="s">
        <v>118</v>
      </c>
      <c r="D6" s="5"/>
      <c r="E6" s="5"/>
      <c r="F6" s="5" t="s">
        <v>119</v>
      </c>
      <c r="G6" s="5"/>
      <c r="H6" s="5"/>
    </row>
    <row r="7" customFormat="false" ht="18" hidden="false" customHeight="true" outlineLevel="0" collapsed="false">
      <c r="C7" s="51" t="s">
        <v>120</v>
      </c>
      <c r="D7" s="51"/>
      <c r="E7" s="51"/>
      <c r="F7" s="52" t="s">
        <v>121</v>
      </c>
      <c r="G7" s="52"/>
      <c r="H7" s="52"/>
    </row>
    <row r="8" customFormat="false" ht="18" hidden="false" customHeight="true" outlineLevel="0" collapsed="false">
      <c r="C8" s="51" t="s">
        <v>122</v>
      </c>
      <c r="D8" s="51"/>
      <c r="E8" s="51"/>
      <c r="F8" s="52" t="s">
        <v>123</v>
      </c>
      <c r="G8" s="52"/>
      <c r="H8" s="52"/>
    </row>
    <row r="9" customFormat="false" ht="18" hidden="false" customHeight="true" outlineLevel="0" collapsed="false">
      <c r="C9" s="51" t="s">
        <v>124</v>
      </c>
      <c r="D9" s="51"/>
      <c r="E9" s="51"/>
      <c r="F9" s="52" t="s">
        <v>125</v>
      </c>
      <c r="G9" s="52"/>
      <c r="H9" s="52"/>
    </row>
    <row r="10" customFormat="false" ht="18" hidden="false" customHeight="true" outlineLevel="0" collapsed="false">
      <c r="C10" s="51" t="s">
        <v>126</v>
      </c>
      <c r="D10" s="51"/>
      <c r="E10" s="51"/>
      <c r="F10" s="52" t="s">
        <v>127</v>
      </c>
      <c r="G10" s="52"/>
      <c r="H10" s="52"/>
    </row>
    <row r="11" customFormat="false" ht="18" hidden="false" customHeight="true" outlineLevel="0" collapsed="false">
      <c r="C11" s="51" t="s">
        <v>128</v>
      </c>
      <c r="D11" s="51"/>
      <c r="E11" s="51"/>
      <c r="F11" s="52" t="s">
        <v>129</v>
      </c>
      <c r="G11" s="52"/>
      <c r="H11" s="52"/>
    </row>
    <row r="13" customFormat="false" ht="21.75" hidden="false" customHeight="true" outlineLevel="0" collapsed="false">
      <c r="A13" s="4" t="s">
        <v>130</v>
      </c>
      <c r="B13" s="4"/>
      <c r="C13" s="4"/>
      <c r="D13" s="4"/>
      <c r="E13" s="4"/>
      <c r="F13" s="4"/>
      <c r="G13" s="4"/>
      <c r="H13" s="4"/>
    </row>
    <row r="14" customFormat="false" ht="18" hidden="false" customHeight="true" outlineLevel="0" collapsed="false">
      <c r="C14" s="14" t="s">
        <v>27</v>
      </c>
      <c r="D14" s="37" t="n">
        <f aca="false">'GİRDİ &amp; PARAMETRELER'!D22</f>
        <v>0</v>
      </c>
      <c r="E14" s="13"/>
      <c r="F14" s="13"/>
      <c r="G14" s="13"/>
      <c r="H14" s="13"/>
    </row>
    <row r="15" customFormat="false" ht="18" hidden="false" customHeight="true" outlineLevel="0" collapsed="false">
      <c r="C15" s="14" t="s">
        <v>131</v>
      </c>
      <c r="D15" s="37" t="n">
        <f aca="false">D14/30</f>
        <v>0</v>
      </c>
      <c r="E15" s="13"/>
      <c r="F15" s="13"/>
      <c r="G15" s="13"/>
      <c r="H15" s="13"/>
    </row>
    <row r="16" customFormat="false" ht="18" hidden="false" customHeight="true" outlineLevel="0" collapsed="false">
      <c r="C16" s="14" t="s">
        <v>132</v>
      </c>
      <c r="D16" s="54" t="str">
        <f aca="false">'GİRDİ &amp; PARAMETRELER'!G7</f>
        <v/>
      </c>
      <c r="E16" s="13"/>
      <c r="F16" s="13"/>
      <c r="G16" s="13"/>
      <c r="H16" s="13"/>
    </row>
    <row r="17" customFormat="false" ht="18" hidden="false" customHeight="true" outlineLevel="0" collapsed="false">
      <c r="C17" s="14" t="s">
        <v>133</v>
      </c>
      <c r="D17" s="54" t="n">
        <f aca="false">IF(D16&lt;5,14,IF(D16&lt;15,20,26))</f>
        <v>26</v>
      </c>
      <c r="E17" s="13"/>
      <c r="F17" s="13"/>
      <c r="G17" s="13"/>
      <c r="H17" s="13"/>
    </row>
    <row r="18" customFormat="false" ht="18" hidden="false" customHeight="true" outlineLevel="0" collapsed="false">
      <c r="C18" s="14" t="s">
        <v>134</v>
      </c>
      <c r="D18" s="54" t="n">
        <f aca="false">'GİRDİ &amp; PARAMETRELER'!D30</f>
        <v>0</v>
      </c>
      <c r="E18" s="13"/>
      <c r="F18" s="13"/>
      <c r="G18" s="13"/>
      <c r="H18" s="13"/>
    </row>
    <row r="19" customFormat="false" ht="19.5" hidden="false" customHeight="true" outlineLevel="0" collapsed="false">
      <c r="C19" s="39" t="s">
        <v>135</v>
      </c>
      <c r="D19" s="40" t="n">
        <f aca="false">D15*D18</f>
        <v>0</v>
      </c>
      <c r="E19" s="13"/>
      <c r="F19" s="13"/>
      <c r="G19" s="13"/>
      <c r="H19" s="13"/>
    </row>
    <row r="21" customFormat="false" ht="21.75" hidden="false" customHeight="true" outlineLevel="0" collapsed="false">
      <c r="A21" s="4" t="s">
        <v>78</v>
      </c>
      <c r="B21" s="4"/>
      <c r="C21" s="4"/>
      <c r="D21" s="4"/>
      <c r="E21" s="4"/>
      <c r="F21" s="4"/>
      <c r="G21" s="4"/>
      <c r="H21" s="4"/>
    </row>
    <row r="22" customFormat="false" ht="18" hidden="false" customHeight="true" outlineLevel="0" collapsed="false">
      <c r="C22" s="6" t="s">
        <v>136</v>
      </c>
      <c r="D22" s="37" t="n">
        <f aca="false">D19*0.14</f>
        <v>0</v>
      </c>
      <c r="E22" s="13"/>
      <c r="F22" s="13"/>
      <c r="G22" s="13"/>
      <c r="H22" s="13"/>
    </row>
    <row r="23" customFormat="false" ht="18" hidden="false" customHeight="true" outlineLevel="0" collapsed="false">
      <c r="C23" s="6" t="s">
        <v>32</v>
      </c>
      <c r="D23" s="37" t="n">
        <f aca="false">D19*0.01</f>
        <v>0</v>
      </c>
      <c r="E23" s="13"/>
      <c r="F23" s="13"/>
      <c r="G23" s="13"/>
      <c r="H23" s="13"/>
    </row>
    <row r="24" customFormat="false" ht="18" hidden="false" customHeight="true" outlineLevel="0" collapsed="false">
      <c r="C24" s="6" t="s">
        <v>137</v>
      </c>
      <c r="D24" s="37" t="n">
        <f aca="false">D19-D22-D23</f>
        <v>0</v>
      </c>
      <c r="E24" s="13"/>
      <c r="F24" s="13"/>
      <c r="G24" s="13"/>
      <c r="H24" s="13"/>
    </row>
    <row r="25" customFormat="false" ht="18" hidden="false" customHeight="true" outlineLevel="0" collapsed="false">
      <c r="C25" s="6" t="s">
        <v>138</v>
      </c>
      <c r="D25" s="37" t="n">
        <f aca="false">IF('GİRDİ &amp; PARAMETRELER'!D35+D24&lt;=190000,D24*0.15,IF('GİRDİ &amp; PARAMETRELER'!D35&gt;=5300000,D24*0.4,IF('GİRDİ &amp; PARAMETRELER'!D35&gt;=1500000,D24*0.35,IF('GİRDİ &amp; PARAMETRELER'!D35&gt;=400000,D24*0.27,IF('GİRDİ &amp; PARAMETRELER'!D35&gt;=190000,D24*0.2,D24*0.15)))))</f>
        <v>0</v>
      </c>
      <c r="E25" s="13"/>
      <c r="F25" s="13"/>
      <c r="G25" s="13"/>
      <c r="H25" s="13"/>
    </row>
    <row r="26" customFormat="false" ht="18" hidden="false" customHeight="true" outlineLevel="0" collapsed="false">
      <c r="C26" s="6" t="s">
        <v>139</v>
      </c>
      <c r="D26" s="37" t="n">
        <f aca="false">MAX(0,'GİRDİ &amp; PARAMETRELER'!D46-'GİRDİ &amp; PARAMETRELER'!D26)</f>
        <v>4211.33</v>
      </c>
      <c r="E26" s="13"/>
      <c r="F26" s="13"/>
      <c r="G26" s="13"/>
      <c r="H26" s="13"/>
    </row>
    <row r="27" customFormat="false" ht="18" hidden="false" customHeight="true" outlineLevel="0" collapsed="false">
      <c r="C27" s="6" t="s">
        <v>140</v>
      </c>
      <c r="D27" s="37" t="n">
        <f aca="false">MAX(0,D25-D26)</f>
        <v>0</v>
      </c>
      <c r="E27" s="13"/>
      <c r="F27" s="13"/>
      <c r="G27" s="13"/>
      <c r="H27" s="13"/>
    </row>
    <row r="28" customFormat="false" ht="18" hidden="false" customHeight="true" outlineLevel="0" collapsed="false">
      <c r="C28" s="6" t="s">
        <v>79</v>
      </c>
      <c r="D28" s="37" t="n">
        <f aca="false">D19*0.00759</f>
        <v>0</v>
      </c>
      <c r="E28" s="13"/>
      <c r="F28" s="13"/>
      <c r="G28" s="13"/>
      <c r="H28" s="13"/>
    </row>
    <row r="29" customFormat="false" ht="18" hidden="false" customHeight="true" outlineLevel="0" collapsed="false">
      <c r="C29" s="6" t="s">
        <v>141</v>
      </c>
      <c r="D29" s="37" t="n">
        <f aca="false">MAX(0,'GİRDİ &amp; PARAMETRELER'!D47-'GİRDİ &amp; PARAMETRELER'!D27)</f>
        <v>250.7</v>
      </c>
      <c r="E29" s="13"/>
      <c r="F29" s="13"/>
      <c r="G29" s="13"/>
      <c r="H29" s="13"/>
    </row>
    <row r="30" customFormat="false" ht="18" hidden="false" customHeight="true" outlineLevel="0" collapsed="false">
      <c r="C30" s="6" t="s">
        <v>142</v>
      </c>
      <c r="D30" s="37" t="n">
        <f aca="false">MAX(0,D28-D29)</f>
        <v>0</v>
      </c>
      <c r="E30" s="13"/>
      <c r="F30" s="13"/>
      <c r="G30" s="13"/>
      <c r="H30" s="13"/>
    </row>
    <row r="31" customFormat="false" ht="18" hidden="false" customHeight="true" outlineLevel="0" collapsed="false">
      <c r="C31" s="44" t="s">
        <v>143</v>
      </c>
      <c r="D31" s="45" t="n">
        <f aca="false">D22+D23+D27+D30</f>
        <v>0</v>
      </c>
      <c r="E31" s="13"/>
      <c r="F31" s="13"/>
      <c r="G31" s="13"/>
      <c r="H31" s="13"/>
    </row>
    <row r="33" customFormat="false" ht="21.75" hidden="false" customHeight="true" outlineLevel="0" collapsed="false">
      <c r="A33" s="4" t="s">
        <v>84</v>
      </c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C34" s="46" t="s">
        <v>135</v>
      </c>
      <c r="D34" s="47" t="n">
        <f aca="false">D19</f>
        <v>0</v>
      </c>
      <c r="E34" s="13"/>
      <c r="F34" s="13"/>
      <c r="G34" s="13"/>
      <c r="H34" s="13"/>
    </row>
    <row r="35" customFormat="false" ht="21.75" hidden="false" customHeight="true" outlineLevel="0" collapsed="false">
      <c r="C35" s="6" t="s">
        <v>144</v>
      </c>
      <c r="D35" s="48" t="n">
        <f aca="false">-D31</f>
        <v>-0</v>
      </c>
      <c r="E35" s="13"/>
      <c r="F35" s="13"/>
      <c r="G35" s="13"/>
      <c r="H35" s="13"/>
    </row>
    <row r="36" customFormat="false" ht="21.75" hidden="false" customHeight="true" outlineLevel="0" collapsed="false">
      <c r="C36" s="49" t="s">
        <v>145</v>
      </c>
      <c r="D36" s="50" t="n">
        <f aca="false">D34+D35</f>
        <v>0</v>
      </c>
      <c r="E36" s="13"/>
      <c r="F36" s="13"/>
      <c r="G36" s="13"/>
      <c r="H36" s="13"/>
    </row>
  </sheetData>
  <mergeCells count="18">
    <mergeCell ref="A1:H2"/>
    <mergeCell ref="A3:H3"/>
    <mergeCell ref="A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A13:H13"/>
    <mergeCell ref="A21:H2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6"/>
    <col collapsed="false" customWidth="true" hidden="false" outlineLevel="0" max="4" min="4" style="1" width="20"/>
    <col collapsed="false" customWidth="true" hidden="false" outlineLevel="0" max="8" min="5" style="1" width="8"/>
  </cols>
  <sheetData>
    <row r="1" customFormat="false" ht="27.75" hidden="false" customHeight="true" outlineLevel="0" collapsed="false">
      <c r="A1" s="31" t="s">
        <v>146</v>
      </c>
      <c r="B1" s="31"/>
      <c r="C1" s="31"/>
      <c r="D1" s="31"/>
      <c r="E1" s="31"/>
      <c r="F1" s="31"/>
      <c r="G1" s="31"/>
      <c r="H1" s="31"/>
    </row>
    <row r="2" customFormat="false" ht="15" hidden="false" customHeight="true" outlineLevel="0" collapsed="false">
      <c r="A2" s="31"/>
      <c r="B2" s="31"/>
      <c r="C2" s="31"/>
      <c r="D2" s="31"/>
      <c r="E2" s="31"/>
      <c r="F2" s="31"/>
      <c r="G2" s="31"/>
      <c r="H2" s="31"/>
    </row>
    <row r="3" customFormat="false" ht="15" hidden="false" customHeight="true" outlineLevel="0" collapsed="false">
      <c r="A3" s="32" t="s">
        <v>147</v>
      </c>
      <c r="B3" s="32"/>
      <c r="C3" s="32"/>
      <c r="D3" s="32"/>
      <c r="E3" s="32"/>
      <c r="F3" s="32"/>
      <c r="G3" s="32"/>
      <c r="H3" s="32"/>
    </row>
    <row r="5" customFormat="false" ht="21.75" hidden="false" customHeight="true" outlineLevel="0" collapsed="false">
      <c r="A5" s="4" t="s">
        <v>148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C6" s="14" t="s">
        <v>27</v>
      </c>
      <c r="D6" s="37" t="n">
        <f aca="false">'GİRDİ &amp; PARAMETRELER'!D22</f>
        <v>0</v>
      </c>
      <c r="E6" s="13"/>
      <c r="F6" s="13"/>
      <c r="G6" s="13"/>
      <c r="H6" s="13"/>
    </row>
    <row r="7" customFormat="false" ht="18" hidden="false" customHeight="true" outlineLevel="0" collapsed="false">
      <c r="C7" s="14" t="s">
        <v>149</v>
      </c>
      <c r="D7" s="37" t="n">
        <f aca="false">D6/225</f>
        <v>0</v>
      </c>
      <c r="E7" s="13"/>
      <c r="F7" s="13"/>
      <c r="G7" s="13"/>
      <c r="H7" s="13"/>
    </row>
    <row r="8" customFormat="false" ht="18" hidden="false" customHeight="true" outlineLevel="0" collapsed="false">
      <c r="C8" s="14" t="s">
        <v>150</v>
      </c>
      <c r="D8" s="56" t="n">
        <v>1.5</v>
      </c>
      <c r="E8" s="13"/>
      <c r="F8" s="13"/>
      <c r="G8" s="13"/>
      <c r="H8" s="13"/>
    </row>
    <row r="9" customFormat="false" ht="18" hidden="false" customHeight="true" outlineLevel="0" collapsed="false">
      <c r="C9" s="14" t="s">
        <v>151</v>
      </c>
      <c r="D9" s="57" t="n">
        <f aca="false">'GİRDİ &amp; PARAMETRELER'!D36</f>
        <v>0</v>
      </c>
      <c r="E9" s="13"/>
      <c r="F9" s="13"/>
      <c r="G9" s="13"/>
      <c r="H9" s="13"/>
    </row>
    <row r="10" customFormat="false" ht="18" hidden="false" customHeight="true" outlineLevel="0" collapsed="false">
      <c r="C10" s="14" t="s">
        <v>152</v>
      </c>
      <c r="D10" s="37" t="n">
        <f aca="false">D7*D8*D9</f>
        <v>0</v>
      </c>
      <c r="E10" s="13"/>
      <c r="F10" s="13"/>
      <c r="G10" s="13"/>
      <c r="H10" s="13"/>
    </row>
    <row r="11" customFormat="false" ht="18" hidden="false" customHeight="true" outlineLevel="0" collapsed="false">
      <c r="C11" s="14" t="s">
        <v>153</v>
      </c>
      <c r="D11" s="58" t="n">
        <f aca="false">'GİRDİ &amp; PARAMETRELER'!D34</f>
        <v>0.3</v>
      </c>
      <c r="E11" s="13"/>
      <c r="F11" s="13"/>
      <c r="G11" s="13"/>
      <c r="H11" s="13"/>
    </row>
    <row r="12" customFormat="false" ht="18" hidden="false" customHeight="true" outlineLevel="0" collapsed="false">
      <c r="C12" s="39" t="s">
        <v>154</v>
      </c>
      <c r="D12" s="40" t="n">
        <f aca="false">D10*(1-D11)</f>
        <v>0</v>
      </c>
      <c r="E12" s="13"/>
      <c r="F12" s="13"/>
      <c r="G12" s="13"/>
      <c r="H12" s="13"/>
    </row>
    <row r="13" customFormat="false" ht="15.75" hidden="false" customHeight="true" outlineLevel="0" collapsed="false">
      <c r="C13" s="59" t="s">
        <v>155</v>
      </c>
      <c r="D13" s="59"/>
      <c r="E13" s="59"/>
      <c r="F13" s="59"/>
      <c r="G13" s="59"/>
      <c r="H13" s="59"/>
    </row>
    <row r="14" customFormat="false" ht="21.75" hidden="false" customHeight="true" outlineLevel="0" collapsed="false">
      <c r="A14" s="4" t="s">
        <v>156</v>
      </c>
      <c r="B14" s="4"/>
      <c r="C14" s="4"/>
      <c r="D14" s="4"/>
      <c r="E14" s="4"/>
      <c r="F14" s="4"/>
      <c r="G14" s="4"/>
      <c r="H14" s="4"/>
    </row>
    <row r="15" customFormat="false" ht="18" hidden="false" customHeight="true" outlineLevel="0" collapsed="false">
      <c r="C15" s="6" t="s">
        <v>136</v>
      </c>
      <c r="D15" s="37" t="n">
        <f aca="false">D12*0.14</f>
        <v>0</v>
      </c>
      <c r="E15" s="13"/>
      <c r="F15" s="13"/>
      <c r="G15" s="13"/>
      <c r="H15" s="13"/>
    </row>
    <row r="16" customFormat="false" ht="18" hidden="false" customHeight="true" outlineLevel="0" collapsed="false">
      <c r="C16" s="6" t="s">
        <v>32</v>
      </c>
      <c r="D16" s="37" t="n">
        <f aca="false">D12*0.01</f>
        <v>0</v>
      </c>
      <c r="E16" s="13"/>
      <c r="F16" s="13"/>
      <c r="G16" s="13"/>
      <c r="H16" s="13"/>
    </row>
    <row r="17" customFormat="false" ht="18" hidden="false" customHeight="true" outlineLevel="0" collapsed="false">
      <c r="C17" s="6" t="s">
        <v>157</v>
      </c>
      <c r="D17" s="37" t="n">
        <f aca="false">D12-D15-D16</f>
        <v>0</v>
      </c>
      <c r="E17" s="13"/>
      <c r="F17" s="13"/>
      <c r="G17" s="13"/>
      <c r="H17" s="13"/>
    </row>
    <row r="18" customFormat="false" ht="18" hidden="false" customHeight="true" outlineLevel="0" collapsed="false">
      <c r="C18" s="6" t="s">
        <v>138</v>
      </c>
      <c r="D18" s="37" t="n">
        <f aca="false">IF('GİRDİ &amp; PARAMETRELER'!D35+D17&lt;=190000,D17*0.15,IF('GİRDİ &amp; PARAMETRELER'!D35&gt;=5300000,D17*0.4,IF('GİRDİ &amp; PARAMETRELER'!D35&gt;=1500000,D17*0.35,IF('GİRDİ &amp; PARAMETRELER'!D35&gt;=400000,D17*0.27,IF('GİRDİ &amp; PARAMETRELER'!D35&gt;=190000,D17*0.2,D17*0.15)))))</f>
        <v>0</v>
      </c>
      <c r="E18" s="13"/>
      <c r="F18" s="13"/>
      <c r="G18" s="13"/>
      <c r="H18" s="13"/>
    </row>
    <row r="19" customFormat="false" ht="18" hidden="false" customHeight="true" outlineLevel="0" collapsed="false">
      <c r="C19" s="6" t="s">
        <v>79</v>
      </c>
      <c r="D19" s="37" t="n">
        <f aca="false">D12*0.00759</f>
        <v>0</v>
      </c>
      <c r="E19" s="13"/>
      <c r="F19" s="13"/>
      <c r="G19" s="13"/>
      <c r="H19" s="13"/>
    </row>
    <row r="20" customFormat="false" ht="18" hidden="false" customHeight="true" outlineLevel="0" collapsed="false">
      <c r="C20" s="44" t="s">
        <v>143</v>
      </c>
      <c r="D20" s="60" t="n">
        <f aca="false">D15+D16+D18+D19</f>
        <v>0</v>
      </c>
      <c r="E20" s="13"/>
      <c r="F20" s="13"/>
      <c r="G20" s="13"/>
      <c r="H20" s="13"/>
    </row>
    <row r="21" customFormat="false" ht="21.75" hidden="false" customHeight="true" outlineLevel="0" collapsed="false">
      <c r="C21" s="61" t="s">
        <v>158</v>
      </c>
      <c r="D21" s="50" t="n">
        <f aca="false">D12-D20</f>
        <v>0</v>
      </c>
      <c r="E21" s="13"/>
      <c r="F21" s="13"/>
      <c r="G21" s="13"/>
      <c r="H21" s="13"/>
    </row>
    <row r="23" customFormat="false" ht="6" hidden="false" customHeight="true" outlineLevel="0" collapsed="false"/>
    <row r="24" customFormat="false" ht="21.75" hidden="false" customHeight="true" outlineLevel="0" collapsed="false">
      <c r="A24" s="4" t="s">
        <v>159</v>
      </c>
      <c r="B24" s="4"/>
      <c r="C24" s="4"/>
      <c r="D24" s="4"/>
      <c r="E24" s="4"/>
      <c r="F24" s="4"/>
      <c r="G24" s="4"/>
      <c r="H24" s="4"/>
    </row>
    <row r="25" customFormat="false" ht="18" hidden="false" customHeight="true" outlineLevel="0" collapsed="false">
      <c r="C25" s="14" t="s">
        <v>27</v>
      </c>
      <c r="D25" s="37" t="n">
        <f aca="false">'GİRDİ &amp; PARAMETRELER'!D22</f>
        <v>0</v>
      </c>
      <c r="E25" s="13"/>
      <c r="F25" s="13"/>
      <c r="G25" s="13"/>
      <c r="H25" s="13"/>
    </row>
    <row r="26" customFormat="false" ht="18" hidden="false" customHeight="true" outlineLevel="0" collapsed="false">
      <c r="C26" s="14" t="s">
        <v>160</v>
      </c>
      <c r="D26" s="37" t="n">
        <f aca="false">D25/30</f>
        <v>0</v>
      </c>
      <c r="E26" s="13"/>
      <c r="F26" s="13"/>
      <c r="G26" s="13"/>
      <c r="H26" s="13"/>
    </row>
    <row r="27" customFormat="false" ht="18" hidden="false" customHeight="true" outlineLevel="0" collapsed="false">
      <c r="C27" s="14" t="s">
        <v>161</v>
      </c>
      <c r="D27" s="54" t="n">
        <f aca="false">'GİRDİ &amp; PARAMETRELER'!D33</f>
        <v>0</v>
      </c>
      <c r="E27" s="13"/>
      <c r="F27" s="13"/>
      <c r="G27" s="13"/>
      <c r="H27" s="13"/>
    </row>
    <row r="28" customFormat="false" ht="18" hidden="false" customHeight="true" outlineLevel="0" collapsed="false">
      <c r="C28" s="14" t="s">
        <v>162</v>
      </c>
      <c r="D28" s="37" t="n">
        <f aca="false">D26*D27</f>
        <v>0</v>
      </c>
      <c r="E28" s="13"/>
      <c r="F28" s="13"/>
      <c r="G28" s="13"/>
      <c r="H28" s="13"/>
    </row>
    <row r="29" customFormat="false" ht="18" hidden="false" customHeight="true" outlineLevel="0" collapsed="false">
      <c r="C29" s="14" t="s">
        <v>153</v>
      </c>
      <c r="D29" s="58" t="n">
        <f aca="false">'GİRDİ &amp; PARAMETRELER'!D34</f>
        <v>0.3</v>
      </c>
      <c r="E29" s="13"/>
      <c r="F29" s="13"/>
      <c r="G29" s="13"/>
      <c r="H29" s="13"/>
    </row>
    <row r="30" customFormat="false" ht="18" hidden="false" customHeight="true" outlineLevel="0" collapsed="false">
      <c r="C30" s="39" t="s">
        <v>163</v>
      </c>
      <c r="D30" s="40" t="n">
        <f aca="false">D28*(1-D29)</f>
        <v>0</v>
      </c>
      <c r="E30" s="13"/>
      <c r="F30" s="13"/>
      <c r="G30" s="13"/>
      <c r="H30" s="13"/>
    </row>
    <row r="32" customFormat="false" ht="21.75" hidden="false" customHeight="true" outlineLevel="0" collapsed="false">
      <c r="A32" s="4" t="s">
        <v>164</v>
      </c>
      <c r="B32" s="4"/>
      <c r="C32" s="4"/>
      <c r="D32" s="4"/>
      <c r="E32" s="4"/>
      <c r="F32" s="4"/>
      <c r="G32" s="4"/>
      <c r="H32" s="4"/>
    </row>
    <row r="33" customFormat="false" ht="18" hidden="false" customHeight="true" outlineLevel="0" collapsed="false">
      <c r="C33" s="6" t="s">
        <v>136</v>
      </c>
      <c r="D33" s="37" t="n">
        <f aca="false">D30*0.14</f>
        <v>0</v>
      </c>
      <c r="E33" s="13"/>
      <c r="F33" s="13"/>
      <c r="G33" s="13"/>
      <c r="H33" s="13"/>
    </row>
    <row r="34" customFormat="false" ht="18" hidden="false" customHeight="true" outlineLevel="0" collapsed="false">
      <c r="C34" s="6" t="s">
        <v>32</v>
      </c>
      <c r="D34" s="37" t="n">
        <f aca="false">D30*0.01</f>
        <v>0</v>
      </c>
      <c r="E34" s="13"/>
      <c r="F34" s="13"/>
      <c r="G34" s="13"/>
      <c r="H34" s="13"/>
    </row>
    <row r="35" customFormat="false" ht="18" hidden="false" customHeight="true" outlineLevel="0" collapsed="false">
      <c r="C35" s="6" t="s">
        <v>157</v>
      </c>
      <c r="D35" s="37" t="n">
        <f aca="false">D30-D33-D34</f>
        <v>0</v>
      </c>
      <c r="E35" s="13"/>
      <c r="F35" s="13"/>
      <c r="G35" s="13"/>
      <c r="H35" s="13"/>
    </row>
    <row r="36" customFormat="false" ht="18" hidden="false" customHeight="true" outlineLevel="0" collapsed="false">
      <c r="C36" s="6" t="s">
        <v>138</v>
      </c>
      <c r="D36" s="37" t="n">
        <f aca="false">IF('GİRDİ &amp; PARAMETRELER'!D35+D35&lt;=190000,D35*0.15,IF('GİRDİ &amp; PARAMETRELER'!D35&gt;=5300000,D35*0.4,IF('GİRDİ &amp; PARAMETRELER'!D35&gt;=1500000,D35*0.35,IF('GİRDİ &amp; PARAMETRELER'!D35&gt;=400000,D35*0.27,IF('GİRDİ &amp; PARAMETRELER'!D35&gt;=190000,D35*0.2,D35*0.15)))))</f>
        <v>0</v>
      </c>
      <c r="E36" s="13"/>
      <c r="F36" s="13"/>
      <c r="G36" s="13"/>
      <c r="H36" s="13"/>
    </row>
    <row r="37" customFormat="false" ht="18" hidden="false" customHeight="true" outlineLevel="0" collapsed="false">
      <c r="C37" s="6" t="s">
        <v>79</v>
      </c>
      <c r="D37" s="37" t="n">
        <f aca="false">D30*0.00759</f>
        <v>0</v>
      </c>
      <c r="E37" s="13"/>
      <c r="F37" s="13"/>
      <c r="G37" s="13"/>
      <c r="H37" s="13"/>
    </row>
    <row r="38" customFormat="false" ht="18" hidden="false" customHeight="true" outlineLevel="0" collapsed="false">
      <c r="C38" s="44" t="s">
        <v>143</v>
      </c>
      <c r="D38" s="60" t="n">
        <f aca="false">D33+D34+D36+D37</f>
        <v>0</v>
      </c>
      <c r="E38" s="13"/>
      <c r="F38" s="13"/>
      <c r="G38" s="13"/>
      <c r="H38" s="13"/>
    </row>
    <row r="39" customFormat="false" ht="21.75" hidden="false" customHeight="true" outlineLevel="0" collapsed="false">
      <c r="C39" s="61" t="s">
        <v>165</v>
      </c>
      <c r="D39" s="50" t="n">
        <f aca="false">D30-D38</f>
        <v>0</v>
      </c>
      <c r="E39" s="13"/>
      <c r="F39" s="13"/>
      <c r="G39" s="13"/>
      <c r="H39" s="13"/>
    </row>
  </sheetData>
  <mergeCells count="7">
    <mergeCell ref="A1:H2"/>
    <mergeCell ref="A3:H3"/>
    <mergeCell ref="A5:H5"/>
    <mergeCell ref="C13:H13"/>
    <mergeCell ref="A14:H14"/>
    <mergeCell ref="A24:H24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0"/>
    <col collapsed="false" customWidth="true" hidden="false" outlineLevel="0" max="6" min="4" style="1" width="20"/>
    <col collapsed="false" customWidth="true" hidden="false" outlineLevel="0" max="7" min="7" style="1" width="6"/>
  </cols>
  <sheetData>
    <row r="1" customFormat="false" ht="30" hidden="false" customHeight="true" outlineLevel="0" collapsed="false">
      <c r="A1" s="2" t="s">
        <v>166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167</v>
      </c>
      <c r="B3" s="3"/>
      <c r="C3" s="3"/>
      <c r="D3" s="3"/>
      <c r="E3" s="3"/>
      <c r="F3" s="3"/>
      <c r="G3" s="3"/>
    </row>
    <row r="5" customFormat="false" ht="21.75" hidden="false" customHeight="true" outlineLevel="0" collapsed="false">
      <c r="C5" s="5" t="s">
        <v>168</v>
      </c>
      <c r="D5" s="5" t="s">
        <v>169</v>
      </c>
      <c r="E5" s="5" t="s">
        <v>170</v>
      </c>
      <c r="F5" s="5" t="s">
        <v>171</v>
      </c>
      <c r="G5" s="13"/>
    </row>
    <row r="6" customFormat="false" ht="19.5" hidden="false" customHeight="true" outlineLevel="0" collapsed="false">
      <c r="C6" s="14" t="s">
        <v>172</v>
      </c>
      <c r="D6" s="37" t="n">
        <f aca="false">'KIDEM TAZMİNATI'!D19</f>
        <v>0</v>
      </c>
      <c r="E6" s="37" t="n">
        <f aca="false">'KIDEM TAZMİNATI'!D24</f>
        <v>0</v>
      </c>
      <c r="F6" s="40" t="n">
        <f aca="false">'KIDEM TAZMİNATI'!D29</f>
        <v>0</v>
      </c>
      <c r="G6" s="13"/>
    </row>
    <row r="7" customFormat="false" ht="19.5" hidden="false" customHeight="true" outlineLevel="0" collapsed="false">
      <c r="C7" s="6" t="s">
        <v>173</v>
      </c>
      <c r="D7" s="48" t="n">
        <f aca="false">'İHBAR TAZMİNATI'!D20</f>
        <v>0</v>
      </c>
      <c r="E7" s="48" t="n">
        <f aca="false">'İHBAR TAZMİNATI'!D27+'İHBAR TAZMİNATI'!D30</f>
        <v>0</v>
      </c>
      <c r="F7" s="40" t="n">
        <f aca="false">'İHBAR TAZMİNATI'!D36</f>
        <v>0</v>
      </c>
      <c r="G7" s="13"/>
    </row>
    <row r="8" customFormat="false" ht="19.5" hidden="false" customHeight="true" outlineLevel="0" collapsed="false">
      <c r="C8" s="14" t="s">
        <v>174</v>
      </c>
      <c r="D8" s="37" t="n">
        <f aca="false">'YILLIK İZİN'!D19</f>
        <v>0</v>
      </c>
      <c r="E8" s="37" t="n">
        <f aca="false">'YILLIK İZİN'!D31</f>
        <v>0</v>
      </c>
      <c r="F8" s="40" t="n">
        <f aca="false">'YILLIK İZİN'!D36</f>
        <v>0</v>
      </c>
      <c r="G8" s="13"/>
    </row>
    <row r="9" customFormat="false" ht="19.5" hidden="false" customHeight="true" outlineLevel="0" collapsed="false">
      <c r="C9" s="6" t="s">
        <v>175</v>
      </c>
      <c r="D9" s="48" t="n">
        <f aca="false">'FAZLA MESAİ &amp; UBGT'!D12</f>
        <v>0</v>
      </c>
      <c r="E9" s="48" t="n">
        <f aca="false">'FAZLA MESAİ &amp; UBGT'!D20</f>
        <v>0</v>
      </c>
      <c r="F9" s="40" t="n">
        <f aca="false">'FAZLA MESAİ &amp; UBGT'!D21</f>
        <v>0</v>
      </c>
      <c r="G9" s="13"/>
    </row>
    <row r="10" customFormat="false" ht="19.5" hidden="false" customHeight="true" outlineLevel="0" collapsed="false">
      <c r="C10" s="14" t="s">
        <v>176</v>
      </c>
      <c r="D10" s="37" t="n">
        <f aca="false">'FAZLA MESAİ &amp; UBGT'!D30</f>
        <v>0</v>
      </c>
      <c r="E10" s="37" t="n">
        <f aca="false">'FAZLA MESAİ &amp; UBGT'!D38</f>
        <v>0</v>
      </c>
      <c r="F10" s="40" t="n">
        <f aca="false">'FAZLA MESAİ &amp; UBGT'!D39</f>
        <v>0</v>
      </c>
      <c r="G10" s="13"/>
    </row>
    <row r="11" customFormat="false" ht="24" hidden="false" customHeight="true" outlineLevel="0" collapsed="false">
      <c r="C11" s="62" t="s">
        <v>177</v>
      </c>
      <c r="D11" s="50" t="n">
        <f aca="false">SUM(D6:D10)</f>
        <v>0</v>
      </c>
      <c r="E11" s="50" t="n">
        <f aca="false">SUM(E6:E10)</f>
        <v>0</v>
      </c>
      <c r="F11" s="50" t="n">
        <f aca="false">SUM(F6:F10)</f>
        <v>0</v>
      </c>
      <c r="G11" s="13"/>
    </row>
    <row r="13" customFormat="false" ht="6" hidden="false" customHeight="true" outlineLevel="0" collapsed="false"/>
    <row r="14" customFormat="false" ht="21.75" hidden="false" customHeight="true" outlineLevel="0" collapsed="false">
      <c r="A14" s="4" t="s">
        <v>178</v>
      </c>
      <c r="B14" s="4"/>
      <c r="C14" s="4"/>
      <c r="D14" s="4"/>
      <c r="E14" s="4"/>
      <c r="F14" s="4"/>
      <c r="G14" s="4"/>
    </row>
    <row r="15" customFormat="false" ht="18" hidden="false" customHeight="true" outlineLevel="0" collapsed="false">
      <c r="C15" s="6" t="s">
        <v>179</v>
      </c>
      <c r="D15" s="63"/>
      <c r="E15" s="64"/>
      <c r="F15" s="64"/>
      <c r="G15" s="64"/>
    </row>
    <row r="16" customFormat="false" ht="18" hidden="false" customHeight="true" outlineLevel="0" collapsed="false">
      <c r="C16" s="6" t="s">
        <v>5</v>
      </c>
      <c r="D16" s="65" t="n">
        <f aca="false">'GİRDİ &amp; PARAMETRELER'!D7</f>
        <v>0</v>
      </c>
      <c r="E16" s="64"/>
      <c r="F16" s="64"/>
      <c r="G16" s="64"/>
    </row>
    <row r="17" customFormat="false" ht="18" hidden="false" customHeight="true" outlineLevel="0" collapsed="false">
      <c r="C17" s="6" t="s">
        <v>8</v>
      </c>
      <c r="D17" s="65" t="n">
        <f aca="false">'GİRDİ &amp; PARAMETRELER'!D8</f>
        <v>0</v>
      </c>
      <c r="E17" s="64"/>
      <c r="F17" s="64"/>
      <c r="G17" s="64"/>
    </row>
    <row r="18" customFormat="false" ht="18" hidden="false" customHeight="true" outlineLevel="0" collapsed="false">
      <c r="C18" s="6" t="s">
        <v>180</v>
      </c>
      <c r="D18" s="63" t="str">
        <f aca="false">'GİRDİ &amp; PARAMETRELER'!G7&amp;" Yıl "&amp;'GİRDİ &amp; PARAMETRELER'!G8&amp;" Ay "&amp;'GİRDİ &amp; PARAMETRELER'!G9&amp;" Gün"</f>
        <v> Yıl  Ay  Gün</v>
      </c>
      <c r="E18" s="64"/>
      <c r="F18" s="64"/>
      <c r="G18" s="64"/>
    </row>
    <row r="19" customFormat="false" ht="18" hidden="false" customHeight="true" outlineLevel="0" collapsed="false">
      <c r="C19" s="6" t="s">
        <v>181</v>
      </c>
      <c r="D19" s="66" t="n">
        <f aca="false">'GİRDİ &amp; PARAMETRELER'!D22</f>
        <v>0</v>
      </c>
      <c r="E19" s="64"/>
      <c r="F19" s="64"/>
      <c r="G19" s="64"/>
    </row>
    <row r="20" customFormat="false" ht="18" hidden="false" customHeight="true" outlineLevel="0" collapsed="false">
      <c r="C20" s="6" t="s">
        <v>182</v>
      </c>
      <c r="D20" s="66" t="n">
        <f aca="false">'GİRDİ &amp; PARAMETRELER'!D23</f>
        <v>0</v>
      </c>
      <c r="E20" s="64"/>
      <c r="F20" s="64"/>
      <c r="G20" s="64"/>
    </row>
    <row r="21" customFormat="false" ht="18" hidden="false" customHeight="true" outlineLevel="0" collapsed="false">
      <c r="C21" s="6" t="s">
        <v>183</v>
      </c>
      <c r="D21" s="66" t="n">
        <f aca="false">'GİRDİ &amp; PARAMETRELER'!B42</f>
        <v>0</v>
      </c>
      <c r="E21" s="64"/>
      <c r="F21" s="64"/>
      <c r="G21" s="64"/>
    </row>
    <row r="22" customFormat="false" ht="18" hidden="false" customHeight="true" outlineLevel="0" collapsed="false">
      <c r="C22" s="6" t="s">
        <v>184</v>
      </c>
      <c r="D22" s="65" t="n">
        <f aca="true">TODAY()</f>
        <v>46097</v>
      </c>
      <c r="E22" s="64"/>
      <c r="F22" s="64"/>
      <c r="G22" s="64"/>
    </row>
    <row r="24" customFormat="false" ht="6" hidden="false" customHeight="true" outlineLevel="0" collapsed="false"/>
    <row r="25" customFormat="false" ht="15" hidden="false" customHeight="true" outlineLevel="0" collapsed="false">
      <c r="A25" s="30" t="s">
        <v>185</v>
      </c>
      <c r="B25" s="30"/>
      <c r="C25" s="30"/>
      <c r="D25" s="30"/>
      <c r="E25" s="30"/>
      <c r="F25" s="30"/>
      <c r="G25" s="30"/>
    </row>
    <row r="26" customFormat="false" ht="15" hidden="false" customHeight="true" outlineLevel="0" collapsed="false">
      <c r="A26" s="30"/>
      <c r="B26" s="30"/>
      <c r="C26" s="30"/>
      <c r="D26" s="30"/>
      <c r="E26" s="30"/>
      <c r="F26" s="30"/>
      <c r="G26" s="30"/>
    </row>
    <row r="27" customFormat="false" ht="15" hidden="false" customHeight="true" outlineLevel="0" collapsed="false">
      <c r="A27" s="30"/>
      <c r="B27" s="30"/>
      <c r="C27" s="30"/>
      <c r="D27" s="30"/>
      <c r="E27" s="30"/>
      <c r="F27" s="30"/>
      <c r="G27" s="30"/>
    </row>
    <row r="28" customFormat="false" ht="15" hidden="false" customHeight="true" outlineLevel="0" collapsed="false">
      <c r="A28" s="30"/>
      <c r="B28" s="30"/>
      <c r="C28" s="30"/>
      <c r="D28" s="30"/>
      <c r="E28" s="30"/>
      <c r="F28" s="30"/>
      <c r="G28" s="30"/>
    </row>
    <row r="29" customFormat="false" ht="15" hidden="false" customHeight="true" outlineLevel="0" collapsed="false">
      <c r="A29" s="30"/>
      <c r="B29" s="30"/>
      <c r="C29" s="30"/>
      <c r="D29" s="30"/>
      <c r="E29" s="30"/>
      <c r="F29" s="30"/>
      <c r="G29" s="30"/>
    </row>
  </sheetData>
  <mergeCells count="12">
    <mergeCell ref="A1:G2"/>
    <mergeCell ref="A3:G3"/>
    <mergeCell ref="A14:G14"/>
    <mergeCell ref="E15:G15"/>
    <mergeCell ref="E16:G16"/>
    <mergeCell ref="E17:G17"/>
    <mergeCell ref="E18:G18"/>
    <mergeCell ref="E19:G19"/>
    <mergeCell ref="E20:G20"/>
    <mergeCell ref="E21:G21"/>
    <mergeCell ref="E22:G22"/>
    <mergeCell ref="A25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2026-03-16T04:45:02Z</dcterms:created>
  <dc:creator>openpyxl</dc:creator>
  <dc:description/>
  <dc:language>en-US</dc:language>
  <cp:lastModifiedBy/>
  <dcterms:modified xsi:type="dcterms:W3CDTF">2026-03-16T04:47:25Z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